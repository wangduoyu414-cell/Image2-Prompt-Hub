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2ee48100d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8fb82ad8e514b12"/>
    <x:sheet xmlns:r="http://schemas.openxmlformats.org/officeDocument/2006/relationships" name="Skill技能类" sheetId="2" r:id="R9dac0c08fcec4320"/>
    <x:sheet xmlns:r="http://schemas.openxmlformats.org/officeDocument/2006/relationships" name="案例效果类" sheetId="3" r:id="R4e44645fb09c4229"/>
    <x:sheet xmlns:r="http://schemas.openxmlformats.org/officeDocument/2006/relationships" name="新增发现" sheetId="4" r:id="R164aa18d05b647e8"/>
    <x:sheet xmlns:r="http://schemas.openxmlformats.org/officeDocument/2006/relationships" name="镜像与去重" sheetId="5" r:id="R8ec72da86e0f40f7"/>
    <x:sheet xmlns:r="http://schemas.openxmlformats.org/officeDocument/2006/relationships" name="持续跟踪" sheetId="6" r:id="Rfbf45e3d37c74dc0"/>
    <x:sheet xmlns:r="http://schemas.openxmlformats.org/officeDocument/2006/relationships" name="评分口径" sheetId="7" r:id="R2ed030be10f2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15A77"/>
      <x:name val="Carlito"/>
    </x:font>
    <x:font>
      <x:b/>
      <x:sz val="11"/>
      <x:color rgb="FF244A6B"/>
      <x:name val="Carlito"/>
    </x:font>
    <x:font>
      <x:b/>
      <x:sz val="16"/>
      <x:color rgb="FF0F4C5C"/>
      <x:name val="Carlito"/>
    </x:font>
    <x:font>
      <x:b/>
      <x:sz val="12"/>
      <x:color rgb="FFFFFFFF"/>
      <x:name val="Carlito"/>
    </x:font>
    <x:font>
      <x:b/>
      <x:sz val="11"/>
      <x:color rgb="FF16324F"/>
      <x:name val="Carlito"/>
    </x:font>
    <x:font>
      <x:sz val="11"/>
      <x:color rgb="FF243B5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2238"/>
      </x:patternFill>
    </x:fill>
    <x:fill>
      <x:patternFill patternType="solid">
        <x:fgColor rgb="FFE8EEF5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2E5B88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6">
    <x:border/>
    <x:border/>
    <x:border>
      <x:bottom style="thin">
        <x:color rgb="FFAFC6D9"/>
      </x:bottom>
    </x:border>
    <x:border>
      <x:bottom style="thin">
        <x:color rgb="FFAFC6D9"/>
      </x:bottom>
    </x:border>
    <x:border>
      <x:bottom style="thin">
        <x:color rgb="FF7A9BB8"/>
      </x:bottom>
    </x:border>
    <x:border>
      <x:bottom style="thin">
        <x:color rgb="FF7A9BB8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4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horizont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5" xfId="0" applyNumberFormat="1" applyFont="1" applyFill="1" applyBorder="1"/>
    <x:xf numFmtId="0" fontId="6" fillId="7" borderId="5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horizont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FFFFFF"/>
      </x:font>
      <x:fill>
        <x:patternFill patternType="solid">
          <x:bgColor rgb="FF1B5E20"/>
        </x:patternFill>
      </x:fill>
    </x:dxf>
    <x:dxf>
      <x:font>
        <x:b/>
        <x:color rgb="FF1B4332"/>
      </x:font>
      <x:fill>
        <x:patternFill patternType="solid">
          <x:bgColor rgb="FFC8E6C9"/>
        </x:patternFill>
      </x:fill>
    </x:dxf>
    <x:dxf>
      <x:font>
        <x:b/>
        <x:color rgb="FF7A4E00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FFFFFF"/>
      </x:font>
      <x:fill>
        <x:patternFill patternType="solid">
          <x:bgColor rgb="FF1B5E20"/>
        </x:patternFill>
      </x:fill>
    </x:dxf>
    <x:dxf>
      <x:font>
        <x:b/>
        <x:color rgb="FF1B4332"/>
      </x:font>
      <x:fill>
        <x:patternFill patternType="solid">
          <x:bgColor rgb="FFC8E6C9"/>
        </x:patternFill>
      </x:fill>
    </x:dxf>
    <x:dxf>
      <x:font>
        <x:b/>
        <x:color rgb="FF7A4E00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81e87b235408e" /><Relationship Type="http://schemas.openxmlformats.org/officeDocument/2006/relationships/theme" Target="/xl/theme/theme1.xml" Id="R9eb1741c823a45ce" /><Relationship Type="http://schemas.openxmlformats.org/officeDocument/2006/relationships/sharedStrings" Target="/xl/sharedStrings.xml" Id="Rcce520ce0d9e4506" /><Relationship Type="http://schemas.openxmlformats.org/officeDocument/2006/relationships/worksheet" Target="/xl/worksheets/sheet1.xml" Id="R98fb82ad8e514b12" /><Relationship Type="http://schemas.openxmlformats.org/officeDocument/2006/relationships/worksheet" Target="/xl/worksheets/sheet2.xml" Id="R9dac0c08fcec4320" /><Relationship Type="http://schemas.openxmlformats.org/officeDocument/2006/relationships/worksheet" Target="/xl/worksheets/sheet3.xml" Id="R4e44645fb09c4229" /><Relationship Type="http://schemas.openxmlformats.org/officeDocument/2006/relationships/worksheet" Target="/xl/worksheets/sheet4.xml" Id="R164aa18d05b647e8" /><Relationship Type="http://schemas.openxmlformats.org/officeDocument/2006/relationships/worksheet" Target="/xl/worksheets/sheet5.xml" Id="R8ec72da86e0f40f7" /><Relationship Type="http://schemas.openxmlformats.org/officeDocument/2006/relationships/worksheet" Target="/xl/worksheets/sheet6.xml" Id="Rfbf45e3d37c74dc0" /><Relationship Type="http://schemas.openxmlformats.org/officeDocument/2006/relationships/worksheet" Target="/xl/worksheets/sheet7.xml" Id="R2ed030be10f246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086060587744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两类项目等级分布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项目数</c:v>
          </c:tx>
          <c:cat>
            <c:strRef>
              <c:f>'总览'!$H$4:$H$7</c:f>
              <c:strCache>
                <c:ptCount val="0"/>
              </c:strCache>
            </c:strRef>
          </c:cat>
          <c:val>
            <c:numRef>
              <c:f>'总览'!$I$4:$I$7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086060587744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killAuditTable" displayName="SkillAuditTable" ref="A1:N31" headerRowCount="1">
  <x:tableColumns count="14">
    <x:tableColumn id="1" name="项目"/>
    <x:tableColumn id="2" name="Skill 子类型"/>
    <x:tableColumn id="3" name="主要角色"/>
    <x:tableColumn id="4" name="专业分"/>
    <x:tableColumn id="5" name="等级"/>
    <x:tableColumn id="6" name="纳入层级"/>
    <x:tableColumn id="7" name="核心能力"/>
    <x:tableColumn id="8" name="案例/验证证据"/>
    <x:tableColumn id="9" name="维护状态"/>
    <x:tableColumn id="10" name="来源/许可"/>
    <x:tableColumn id="11" name="优势判断"/>
    <x:tableColumn id="12" name="主要风险"/>
    <x:tableColumn id="13" name="本轮状态"/>
    <x:tableColumn id="14" name="项目 URL"/>
  </x:tableColumns>
  <x:tableStyleInfo name="TableStyleMedium2" showRowStripes="1"/>
</x:table>
</file>

<file path=xl/tables/table2.xml><?xml version="1.0" encoding="utf-8"?>
<x:table xmlns:x="http://schemas.openxmlformats.org/spreadsheetml/2006/main" id="2" name="CaseAuditTable" displayName="CaseAuditTable" ref="A1:M28" headerRowCount="1">
  <x:tableColumns count="13">
    <x:tableColumn id="1" name="项目"/>
    <x:tableColumn id="2" name="案例类型"/>
    <x:tableColumn id="3" name="主要角色"/>
    <x:tableColumn id="4" name="专业分"/>
    <x:tableColumn id="5" name="等级"/>
    <x:tableColumn id="6" name="纳入层级"/>
    <x:tableColumn id="7" name="内容结构"/>
    <x:tableColumn id="8" name="Prompt/效果证据"/>
    <x:tableColumn id="9" name="维护状态"/>
    <x:tableColumn id="10" name="来源/许可"/>
    <x:tableColumn id="11" name="优势判断"/>
    <x:tableColumn id="12" name="主要风险"/>
    <x:tableColumn id="13" name="项目 URL"/>
  </x:tableColumns>
  <x:tableStyleInfo name="TableStyleMedium2" showRowStripes="1"/>
</x:table>
</file>

<file path=xl/tables/table3.xml><?xml version="1.0" encoding="utf-8"?>
<x:table xmlns:x="http://schemas.openxmlformats.org/spreadsheetml/2006/main" id="3" name="NewFindingsTable" displayName="NewFindingsTable" ref="A1:E14" headerRowCount="1">
  <x:tableColumns count="5">
    <x:tableColumn id="1" name="项目/发现"/>
    <x:tableColumn id="2" name="类别"/>
    <x:tableColumn id="3" name="处理"/>
    <x:tableColumn id="4" name="新结论"/>
    <x:tableColumn id="5" name="当前等级"/>
  </x:tableColumns>
  <x:tableStyleInfo name="TableStyleMedium2" showRowStripes="1"/>
</x:table>
</file>

<file path=xl/tables/table4.xml><?xml version="1.0" encoding="utf-8"?>
<x:table xmlns:x="http://schemas.openxmlformats.org/spreadsheetml/2006/main" id="4" name="DedupTable" displayName="DedupTable" ref="A1:D13" headerRowCount="1">
  <x:tableColumns count="4">
    <x:tableColumn id="1" name="镜像/血缘族"/>
    <x:tableColumn id="2" name="判定证据"/>
    <x:tableColumn id="3" name="处理规则"/>
    <x:tableColumn id="4" name="风险"/>
  </x:tableColumns>
  <x:tableStyleInfo name="TableStyleMedium2" showRowStripes="1"/>
</x:table>
</file>

<file path=xl/tables/table5.xml><?xml version="1.0" encoding="utf-8"?>
<x:table xmlns:x="http://schemas.openxmlformats.org/spreadsheetml/2006/main" id="5" name="TrackingTable" displayName="TrackingTable" ref="A1:C9" headerRowCount="1">
  <x:tableColumns count="3">
    <x:tableColumn id="1" name="环节"/>
    <x:tableColumn id="2" name="检查方式"/>
    <x:tableColumn id="3" name="具体规则"/>
  </x:tableColumns>
  <x:tableStyleInfo name="TableStyleMedium2" showRowStripes="1"/>
</x:table>
</file>

<file path=xl/tables/table6.xml><?xml version="1.0" encoding="utf-8"?>
<x:table xmlns:x="http://schemas.openxmlformats.org/spreadsheetml/2006/main" id="6" name="RubricTable" displayName="RubricTable" ref="A1:C11" headerRowCount="1">
  <x:tableColumns count="3">
    <x:tableColumn id="1" name="评分项"/>
    <x:tableColumn id="2" name="权重"/>
    <x:tableColumn id="3" name="判断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232d94a35c47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f722979afd4e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5aa637c03844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e4c0a1693b46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23ca33c31845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cc5a3158c24e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b9909602d54a6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5" hidden="0" customWidth="1"/>
    <x:col min="4" max="4" width="35" hidden="0" customWidth="1"/>
    <x:col min="5" max="5" width="35" hidden="0" customWidth="1"/>
    <x:col min="6" max="6" width="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5" t="str">
        <x:v>GPT Image 2 开源生态两类深度调研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截止 2026-08-01（美东时间）；Skill 技能类与高质量 Prompt+效果案例类分离评估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H3" s="51" t="str">
        <x:v>等级</x:v>
      </x:c>
      <x:c r="I3" s="51" t="str">
        <x:v>项目数</x:v>
      </x:c>
    </x:row>
    <x:row r="4">
      <x:c r="A4" s="19" t="str">
        <x:v>Skill 项目数</x:v>
      </x:c>
      <x:c r="B4" s="29" t="n">
        <x:f>COUNTA('Skill技能类'!A2:A200)</x:f>
        <x:v>30</x:v>
      </x:c>
      <x:c r="D4" s="19" t="str">
        <x:v>案例项目数</x:v>
      </x:c>
      <x:c r="E4" s="29" t="n">
        <x:f>COUNTA('案例效果类'!A2:A200)</x:f>
        <x:v>27</x:v>
      </x:c>
      <x:c r="H4" s="61" t="str">
        <x:v>S</x:v>
      </x:c>
      <x:c r="I4" s="61" t="n">
        <x:f>COUNTIF('Skill技能类'!E2:E200,H4)+COUNTIF('案例效果类'!E2:E200,H4)</x:f>
        <x:v>8</x:v>
      </x:c>
    </x:row>
    <x:row r="5">
      <x:c r="A5" s="19" t="str">
        <x:v>Skill S 级</x:v>
      </x:c>
      <x:c r="B5" s="29" t="n">
        <x:f>COUNTIF('Skill技能类'!E2:E200,"S")</x:f>
        <x:v>6</x:v>
      </x:c>
      <x:c r="D5" s="19" t="str">
        <x:v>案例 S 级</x:v>
      </x:c>
      <x:c r="E5" s="29" t="n">
        <x:f>COUNTIF('案例效果类'!E2:E200,"S")</x:f>
        <x:v>2</x:v>
      </x:c>
      <x:c r="H5" s="61" t="str">
        <x:v>A</x:v>
      </x:c>
      <x:c r="I5" s="61" t="n">
        <x:f>COUNTIF('Skill技能类'!E2:E200,H5)+COUNTIF('案例效果类'!E2:E200,H5)</x:f>
        <x:v>29</x:v>
      </x:c>
    </x:row>
    <x:row r="6">
      <x:c r="A6" s="19" t="str">
        <x:v>Skill A 级</x:v>
      </x:c>
      <x:c r="B6" s="29" t="n">
        <x:f>COUNTIF('Skill技能类'!E2:E200,"A")</x:f>
        <x:v>16</x:v>
      </x:c>
      <x:c r="D6" s="19" t="str">
        <x:v>案例 A 级</x:v>
      </x:c>
      <x:c r="E6" s="29" t="n">
        <x:f>COUNTIF('案例效果类'!E2:E200,"A")</x:f>
        <x:v>13</x:v>
      </x:c>
      <x:c r="H6" s="61" t="str">
        <x:v>B</x:v>
      </x:c>
      <x:c r="I6" s="61" t="n">
        <x:f>COUNTIF('Skill技能类'!E2:E200,H6)+COUNTIF('案例效果类'!E2:E200,H6)</x:f>
        <x:v>15</x:v>
      </x:c>
    </x:row>
    <x:row r="7">
      <x:c r="A7" s="19" t="str">
        <x:v>Skill 核心/重点采用</x:v>
      </x:c>
      <x:c r="B7" s="30" t="n">
        <x:f>COUNTIF('Skill技能类'!F2:F200,"核心采用")+COUNTIF('Skill技能类'!F2:F200,"重点采用")+COUNTIF('Skill技能类'!F2:F200,"垂直首选")+COUNTIF('Skill技能类'!F2:F200,"垂直采用")+COUNTIF('Skill技能类'!F2:F200,"执行层首选")+COUNTIF('Skill技能类'!F2:F200,"管理层采用")+COUNTIF('Skill技能类'!F2:F200,"评测层采用")+COUNTIF('Skill技能类'!F2:F200,"精选采用")+COUNTIF('Skill技能类'!F2:F200,"选择性采用")</x:f>
        <x:v>18</x:v>
      </x:c>
      <x:c r="D7" s="19" t="str">
        <x:v>镜像/衍生排除</x:v>
      </x:c>
      <x:c r="E7" s="30" t="n">
        <x:f>COUNTIF('案例效果类'!F2:F200,"排除独立计数")+COUNTIF('案例效果类'!F2:F200,"不纳入核心")</x:f>
        <x:v>5</x:v>
      </x:c>
      <x:c r="H7" s="61" t="str">
        <x:v>C</x:v>
      </x:c>
      <x:c r="I7" s="61" t="n">
        <x:f>COUNTIF('Skill技能类'!E2:E200,H7)+COUNTIF('案例效果类'!E2:E200,H7)</x:f>
        <x:v>5</x:v>
      </x:c>
    </x:row>
    <x:row r="9">
      <x:c r="A9" s="41" t="str">
        <x:v>推荐生产链：官方规范 → Prompt 编译/校验 → 视觉导演 → 垂直工作流 → 执行 → 资产管理 → 回归评测</x:v>
      </x:c>
      <x:c r="B9" s="41"/>
      <x:c r="C9" s="41"/>
      <x:c r="D9" s="41"/>
      <x:c r="E9" s="41"/>
      <x:c r="F9" s="41"/>
      <x:c r="G9" s="41"/>
      <x:c r="H9" s="41"/>
      <x:c r="I9" s="41"/>
      <x:c r="J9" s="41"/>
    </x:row>
    <x:row r="11">
      <x:c r="A11" s="51" t="str">
        <x:v>层级</x:v>
      </x:c>
      <x:c r="B11" s="51" t="str">
        <x:v>首选项目</x:v>
      </x:c>
      <x:c r="C11" s="51" t="str">
        <x:v>作用</x:v>
      </x:c>
      <x:c r="D11" s="51" t="str">
        <x:v>替代/补充</x:v>
      </x:c>
      <x:c r="E11" s="51" t="str">
        <x:v>采用建议</x:v>
      </x:c>
    </x:row>
    <x:row r="12">
      <x:c r="A12" s="61" t="str">
        <x:v>官方基线</x:v>
      </x:c>
      <x:c r="B12" s="61" t="str">
        <x:v>openai/codex imagegen</x:v>
      </x:c>
      <x:c r="C12" s="61" t="str">
        <x:v>模式、参考图角色、精确文字、不变量、迭代</x:v>
      </x:c>
      <x:c r="D12" s="61" t="str">
        <x:v>openai/openai-cookbook</x:v>
      </x:c>
      <x:c r="E12" s="61" t="str">
        <x:v>所有第三方规则先与官方基线对齐</x:v>
      </x:c>
    </x:row>
    <x:row r="13">
      <x:c r="A13" s="61" t="str">
        <x:v>Prompt 编译</x:v>
      </x:c>
      <x:c r="B13" s="61" t="str">
        <x:v>veryCoolTimo/imagegen-skills</x:v>
      </x:c>
      <x:c r="C13" s="61" t="str">
        <x:v>多模型结构化 Prompt</x:v>
      </x:c>
      <x:c r="D13" s="61" t="str">
        <x:v>gongnyang/gongnyang-prompt-kit</x:v>
      </x:c>
      <x:c r="E13" s="61" t="str">
        <x:v>二选一为主，另一套作为校验补充</x:v>
      </x:c>
    </x:row>
    <x:row r="14">
      <x:c r="A14" s="61" t="str">
        <x:v>视觉导演</x:v>
      </x:c>
      <x:c r="B14" s="61" t="str">
        <x:v>smixs/visual-skills</x:v>
      </x:c>
      <x:c r="C14" s="61" t="str">
        <x:v>任务路由、创意方向、编辑约束</x:v>
      </x:c>
      <x:c r="D14" s="61" t="str">
        <x:v>Leonxlnx/taste-skill</x:v>
      </x:c>
      <x:c r="E14" s="61" t="str">
        <x:v>减少模板化和审美平庸</x:v>
      </x:c>
    </x:row>
    <x:row r="15">
      <x:c r="A15" s="61" t="str">
        <x:v>持续学习</x:v>
      </x:c>
      <x:c r="B15" s="61" t="str">
        <x:v>trin-zenityx/image-craft-lv</x:v>
      </x:c>
      <x:c r="C15" s="61" t="str">
        <x:v>Batch Gate、自审、Lessons、A/B Arena</x:v>
      </x:c>
      <x:c r="D15" s="61" t="str">
        <x:v>multi-agent-image-gen-evals</x:v>
      </x:c>
      <x:c r="E15" s="61" t="str">
        <x:v>用于多图一致性与经验验证</x:v>
      </x:c>
    </x:row>
    <x:row r="16">
      <x:c r="A16" s="61" t="str">
        <x:v>垂直工作流</x:v>
      </x:c>
      <x:c r="B16" s="61" t="str">
        <x:v>JuneYaooo/gpt-image2-ppt-skills</x:v>
      </x:c>
      <x:c r="C16" s="61" t="str">
        <x:v>PPT 模板克隆、回渲染、可编辑重建</x:v>
      </x:c>
      <x:c r="D16" s="61" t="str">
        <x:v>shaowen-ye/image-prompt-builder</x:v>
      </x:c>
      <x:c r="E16" s="61" t="str">
        <x:v>按 PPT/科学图等场景加载</x:v>
      </x:c>
    </x:row>
    <x:row r="17">
      <x:c r="A17" s="61" t="str">
        <x:v>执行工具</x:v>
      </x:c>
      <x:c r="B17" s="61" t="str">
        <x:v>Wangnov/gpt-image-2-skill</x:v>
      </x:c>
      <x:c r="C17" s="61" t="str">
        <x:v>CLI/Desktop/Docker/Skill 统一执行</x:v>
      </x:c>
      <x:c r="D17" s="61" t="str">
        <x:v>ima2-gen / GPT-Image2-Studio</x:v>
      </x:c>
      <x:c r="E17" s="61" t="str">
        <x:v>执行层不替代 Prompt 方法层</x:v>
      </x:c>
    </x:row>
    <x:row r="18">
      <x:c r="A18" s="61" t="str">
        <x:v>资产管理</x:v>
      </x:c>
      <x:c r="B18" s="61" t="str">
        <x:v>EddieTYP/image-prompt-library</x:v>
      </x:c>
      <x:c r="C18" s="61" t="str">
        <x:v>本地 Prompt+图片+来源元数据</x:v>
      </x:c>
      <x:c r="D18" s="61" t="str">
        <x:v>自建 SQLite/Postgres</x:v>
      </x:c>
      <x:c r="E18" s="61" t="str">
        <x:v>将优秀案例沉淀为私有知识库</x:v>
      </x:c>
    </x:row>
    <x:row r="19">
      <x:c r="A19" s="61" t="str">
        <x:v>案例核心</x:v>
      </x:c>
      <x:c r="B19" s="61" t="str">
        <x:v>VigoZhao/AI-Visual-Prompt-Cookbook</x:v>
      </x:c>
      <x:c r="C19" s="61" t="str">
        <x:v>结构化 Prompt+双预览+Schema</x:v>
      </x:c>
      <x:c r="D19" s="61" t="str">
        <x:v>g0dam / JoeSai / ConardLi</x:v>
      </x:c>
      <x:c r="E19" s="61" t="str">
        <x:v>大库只作召回，核心库逐条复跑</x:v>
      </x:c>
    </x:row>
  </x:sheetData>
  <x:mergeCells>
    <x:mergeCell ref="A1:J1"/>
    <x:mergeCell ref="A2:J2"/>
    <x:mergeCell ref="A9:J9"/>
  </x:mergeCells>
  <x:pageMargins left="0.7" right="0.7" top="0.75" bottom="0.75" header="0.3" footer="0.3"/>
  <x:drawing xmlns:r="http://schemas.openxmlformats.org/officeDocument/2006/relationships" r:id="R00232d94a35c4704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9" hidden="0" customWidth="1"/>
    <x:col min="5" max="5" width="9" hidden="0" customWidth="1"/>
    <x:col min="6" max="6" width="16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23" hidden="0" customWidth="1"/>
    <x:col min="14" max="14" width="23" hidden="0" customWidth="1"/>
  </x:cols>
  <x:sheetData>
    <x:row r="1" ht="15" hidden="0" customHeight="1">
      <x:c r="A1" s="68" t="str">
        <x:v>项目</x:v>
      </x:c>
      <x:c r="B1" s="68" t="str">
        <x:v>Skill 子类型</x:v>
      </x:c>
      <x:c r="C1" s="68" t="str">
        <x:v>主要角色</x:v>
      </x:c>
      <x:c r="D1" s="68" t="str">
        <x:v>专业分</x:v>
      </x:c>
      <x:c r="E1" s="68" t="str">
        <x:v>等级</x:v>
      </x:c>
      <x:c r="F1" s="68" t="str">
        <x:v>纳入层级</x:v>
      </x:c>
      <x:c r="G1" s="68" t="str">
        <x:v>核心能力</x:v>
      </x:c>
      <x:c r="H1" s="68" t="str">
        <x:v>案例/验证证据</x:v>
      </x:c>
      <x:c r="I1" s="68" t="str">
        <x:v>维护状态</x:v>
      </x:c>
      <x:c r="J1" s="68" t="str">
        <x:v>来源/许可</x:v>
      </x:c>
      <x:c r="K1" s="68" t="str">
        <x:v>优势判断</x:v>
      </x:c>
      <x:c r="L1" s="68" t="str">
        <x:v>主要风险</x:v>
      </x:c>
      <x:c r="M1" s="68" t="str">
        <x:v>本轮状态</x:v>
      </x:c>
      <x:c r="N1" s="68" t="str">
        <x:v>项目 URL</x:v>
      </x:c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 ht="39.599998474121094" hidden="0" customHeight="1">
      <x:c r="A2" s="61" t="str">
        <x:v>openai/codex（内置 imagegen Skill）</x:v>
      </x:c>
      <x:c r="B2" s="61" t="str">
        <x:v>官方规范与执行</x:v>
      </x:c>
      <x:c r="C2" s="61" t="str">
        <x:v>通用基线</x:v>
      </x:c>
      <x:c r="D2" s="61" t="n">
        <x:v>98</x:v>
      </x:c>
      <x:c r="E2" s="61" t="str">
        <x:v>S</x:v>
      </x:c>
      <x:c r="F2" s="61" t="str">
        <x:v>核心采用</x:v>
      </x:c>
      <x:c r="G2" s="61" t="str">
        <x:v>官方模式路由；输入图角色；精确文字；编辑不变量；小步迭代；透明背景降级；资产落盘</x:v>
      </x:c>
      <x:c r="H2" s="61" t="str">
        <x:v>官方样例提示词与执行规范</x:v>
      </x:c>
      <x:c r="I2" s="61" t="str">
        <x:v>持续维护</x:v>
      </x:c>
      <x:c r="J2" s="61" t="str">
        <x:v>官方来源</x:v>
      </x:c>
      <x:c r="K2" s="61" t="str">
        <x:v>当前最可靠的 GPT Image 2 Skill 规范基线</x:v>
      </x:c>
      <x:c r="L2" s="61" t="str">
        <x:v>它是执行/提示规范，不是大型社区案例库</x:v>
      </x:c>
      <x:c r="M2" s="61" t="str">
        <x:v>本轮新增</x:v>
      </x:c>
      <x:c r="N2" s="61" t="str">
        <x:v>https://github.com/openai/codex</x:v>
      </x:c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 ht="26.399999618530273" hidden="0" customHeight="1">
      <x:c r="A3" s="61" t="str">
        <x:v>openai/openai-cookbook</x:v>
      </x:c>
      <x:c r="B3" s="61" t="str">
        <x:v>官方方法与样例</x:v>
      </x:c>
      <x:c r="C3" s="61" t="str">
        <x:v>规范基线</x:v>
      </x:c>
      <x:c r="D3" s="61" t="n">
        <x:v>96</x:v>
      </x:c>
      <x:c r="E3" s="61" t="str">
        <x:v>S</x:v>
      </x:c>
      <x:c r="F3" s="61" t="str">
        <x:v>核心采用</x:v>
      </x:c>
      <x:c r="G3" s="61" t="str">
        <x:v>官方图像生成、编辑、多模态提示方法；适合作为第三方 Skill 验收标准</x:v>
      </x:c>
      <x:c r="H3" s="61" t="str">
        <x:v>官方 Notebook、代码与生成示例</x:v>
      </x:c>
      <x:c r="I3" s="61" t="str">
        <x:v>持续维护</x:v>
      </x:c>
      <x:c r="J3" s="61" t="str">
        <x:v>官方来源</x:v>
      </x:c>
      <x:c r="K3" s="61" t="str">
        <x:v>模型参数与提示方法最可信</x:v>
      </x:c>
      <x:c r="L3" s="61" t="str">
        <x:v>不等同于可直接安装的单一 Skill</x:v>
      </x:c>
      <x:c r="M3" s="61" t="str">
        <x:v>既有补强</x:v>
      </x:c>
      <x:c r="N3" s="61" t="str">
        <x:v>https://github.com/openai/openai-cookbook</x:v>
      </x:c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 ht="39.599998474121094" hidden="0" customHeight="1">
      <x:c r="A4" s="61" t="str">
        <x:v>veryCoolTimo/imagegen-skills</x:v>
      </x:c>
      <x:c r="B4" s="61" t="str">
        <x:v>Prompt 编译/模型适配</x:v>
      </x:c>
      <x:c r="C4" s="61" t="str">
        <x:v>通用提示词系统</x:v>
      </x:c>
      <x:c r="D4" s="61" t="n">
        <x:v>95</x:v>
      </x:c>
      <x:c r="E4" s="61" t="str">
        <x:v>S</x:v>
      </x:c>
      <x:c r="F4" s="61" t="str">
        <x:v>核心采用</x:v>
      </x:c>
      <x:c r="G4" s="61" t="str">
        <x:v>9 块提示结构；9 类视觉原型；多模型适配；风格预设；编辑/Remix；GPT Image 2 专属适配</x:v>
      </x:c>
      <x:c r="H4" s="61" t="str">
        <x:v>结构化参考模块与真实工作流</x:v>
      </x:c>
      <x:c r="I4" s="61" t="str">
        <x:v>2026-07 实质更新</x:v>
      </x:c>
      <x:c r="J4" s="61" t="str">
        <x:v>MIT</x:v>
      </x:c>
      <x:c r="K4" s="61" t="str">
        <x:v>通用性、结构性和模型适配较完整</x:v>
      </x:c>
      <x:c r="L4" s="61" t="str">
        <x:v>普通摄影场景可能被过度参数化</x:v>
      </x:c>
      <x:c r="M4" s="61" t="str">
        <x:v>本轮新增</x:v>
      </x:c>
      <x:c r="N4" s="61" t="str">
        <x:v>https://github.com/veryCoolTimo/imagegen-skills</x:v>
      </x:c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 ht="26.399999618530273" hidden="0" customHeight="1">
      <x:c r="A5" s="61" t="str">
        <x:v>gongnyang/gongnyang-prompt-kit</x:v>
      </x:c>
      <x:c r="B5" s="61" t="str">
        <x:v>Prompt-as-Code/校验</x:v>
      </x:c>
      <x:c r="C5" s="61" t="str">
        <x:v>提示词编译器</x:v>
      </x:c>
      <x:c r="D5" s="61" t="n">
        <x:v>95</x:v>
      </x:c>
      <x:c r="E5" s="61" t="str">
        <x:v>S</x:v>
      </x:c>
      <x:c r="F5" s="61" t="str">
        <x:v>核心采用</x:v>
      </x:c>
      <x:c r="G5" s="61" t="str">
        <x:v>结构化编译、Schema、白名单、反模板化规则、回归夹具、CI 校验</x:v>
      </x:c>
      <x:c r="H5" s="61" t="str">
        <x:v>JSONL、测试、校验器、案例</x:v>
      </x:c>
      <x:c r="I5" s="61" t="str">
        <x:v>2026-07 实质更新</x:v>
      </x:c>
      <x:c r="J5" s="61" t="str">
        <x:v>开源仓库许可</x:v>
      </x:c>
      <x:c r="K5" s="61" t="str">
        <x:v>最适合做团队级 Prompt 编译与质量门</x:v>
      </x:c>
      <x:c r="L5" s="61" t="str">
        <x:v>需要把规则裁剪到自身业务，避免过度工程化</x:v>
      </x:c>
      <x:c r="M5" s="61" t="str">
        <x:v>既有确认</x:v>
      </x:c>
      <x:c r="N5" s="61" t="str">
        <x:v>https://github.com/gongnyang/gongnyang-prompt-kit</x:v>
      </x:c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 ht="26.399999618530273" hidden="0" customHeight="1">
      <x:c r="A6" s="61" t="str">
        <x:v>JuneYaooo/gpt-image2-ppt-skills</x:v>
      </x:c>
      <x:c r="B6" s="61" t="str">
        <x:v>垂直生产流程</x:v>
      </x:c>
      <x:c r="C6" s="61" t="str">
        <x:v>PPT/模板克隆</x:v>
      </x:c>
      <x:c r="D6" s="61" t="n">
        <x:v>94</x:v>
      </x:c>
      <x:c r="E6" s="61" t="str">
        <x:v>S</x:v>
      </x:c>
      <x:c r="F6" s="61" t="str">
        <x:v>垂直首选</x:v>
      </x:c>
      <x:c r="G6" s="61" t="str">
        <x:v>模板验证；单页确认；并发生成；回渲染验收；确定性修复；可编辑对象重建</x:v>
      </x:c>
      <x:c r="H6" s="61" t="str">
        <x:v>输入/输出对照、可编辑 PPTX、质量报告</x:v>
      </x:c>
      <x:c r="I6" s="61" t="str">
        <x:v>2026-08 实质更新</x:v>
      </x:c>
      <x:c r="J6" s="61" t="str">
        <x:v>Apache-2.0</x:v>
      </x:c>
      <x:c r="K6" s="61" t="str">
        <x:v>PPT 垂直场景闭环最完整</x:v>
      </x:c>
      <x:c r="L6" s="61" t="str">
        <x:v>密集表格、财务、法务和精确数字仍需人工验收</x:v>
      </x:c>
      <x:c r="M6" s="61" t="str">
        <x:v>既有确认</x:v>
      </x:c>
      <x:c r="N6" s="61" t="str">
        <x:v>https://github.com/JuneYaooo/gpt-image2-ppt-skills</x:v>
      </x:c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 ht="52.79999923706055" hidden="0" customHeight="1">
      <x:c r="A7" s="61" t="str">
        <x:v>smixs/visual-skills</x:v>
      </x:c>
      <x:c r="B7" s="61" t="str">
        <x:v>视觉导演/知识路由</x:v>
      </x:c>
      <x:c r="C7" s="61" t="str">
        <x:v>通用视觉生产</x:v>
      </x:c>
      <x:c r="D7" s="61" t="n">
        <x:v>92</x:v>
      </x:c>
      <x:c r="E7" s="61" t="str">
        <x:v>S</x:v>
      </x:c>
      <x:c r="F7" s="61" t="str">
        <x:v>核心采用</x:v>
      </x:c>
      <x:c r="G7" s="61" t="str">
        <x:v>模型规则→黄金规则→任务模块→创意方向→Prompt 框架；Change/Preserve/Constraints 编辑结构</x:v>
      </x:c>
      <x:c r="H7" s="61" t="str">
        <x:v>模块化参考文档与输出契约</x:v>
      </x:c>
      <x:c r="I7" s="61" t="str">
        <x:v>2026-04 实质更新</x:v>
      </x:c>
      <x:c r="J7" s="61" t="str">
        <x:v>开源仓库许可</x:v>
      </x:c>
      <x:c r="K7" s="61" t="str">
        <x:v>视觉导演与执行约束结合较好</x:v>
      </x:c>
      <x:c r="L7" s="61" t="str">
        <x:v>部分尺寸上限偏保守，需以官方 API 为准</x:v>
      </x:c>
      <x:c r="M7" s="61" t="str">
        <x:v>本轮新增</x:v>
      </x:c>
      <x:c r="N7" s="61" t="str">
        <x:v>https://github.com/smixs/visual-skills</x:v>
      </x:c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 ht="39.599998474121094" hidden="0" customHeight="1">
      <x:c r="A8" s="61" t="str">
        <x:v>trin-zenityx/image-craft-lv</x:v>
      </x:c>
      <x:c r="B8" s="61" t="str">
        <x:v>持续学习/质量门</x:v>
      </x:c>
      <x:c r="C8" s="61" t="str">
        <x:v>多图一致性与自审</x:v>
      </x:c>
      <x:c r="D8" s="61" t="n">
        <x:v>91</x:v>
      </x:c>
      <x:c r="E8" s="61" t="str">
        <x:v>A</x:v>
      </x:c>
      <x:c r="F8" s="61" t="str">
        <x:v>重点采用</x:v>
      </x:c>
      <x:c r="G8" s="61" t="str">
        <x:v>Pre-submit Checklist、Batch Gate、Post-generate Self-review、Lessons Ledger、A/B Arena</x:v>
      </x:c>
      <x:c r="H8" s="61" t="str">
        <x:v>12 条经验、A/B 对照、评审记录、可视化看板</x:v>
      </x:c>
      <x:c r="I8" s="61" t="str">
        <x:v>2026-04 实质更新</x:v>
      </x:c>
      <x:c r="J8" s="61" t="str">
        <x:v>开源仓库许可</x:v>
      </x:c>
      <x:c r="K8" s="61" t="str">
        <x:v>少见的可验证持续学习 Skill；对多镜头一致性尤其有价值</x:v>
      </x:c>
      <x:c r="L8" s="61" t="str">
        <x:v>非 GPT Image 2 专属；当前仅 1 条 lesson 完成正式验证</x:v>
      </x:c>
      <x:c r="M8" s="61" t="str">
        <x:v>本轮新增</x:v>
      </x:c>
      <x:c r="N8" s="61" t="str">
        <x:v>https://github.com/trin-zenityx/image-craft-lv</x:v>
      </x:c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 ht="26.399999618530273" hidden="0" customHeight="1">
      <x:c r="A9" s="61" t="str">
        <x:v>ningzimu/codex-ppt-skill</x:v>
      </x:c>
      <x:c r="B9" s="61" t="str">
        <x:v>垂直生产流程</x:v>
      </x:c>
      <x:c r="C9" s="61" t="str">
        <x:v>PPT/个人风格库</x:v>
      </x:c>
      <x:c r="D9" s="61" t="n">
        <x:v>91</x:v>
      </x:c>
      <x:c r="E9" s="61" t="str">
        <x:v>A</x:v>
      </x:c>
      <x:c r="F9" s="61" t="str">
        <x:v>垂直采用</x:v>
      </x:c>
      <x:c r="G9" s="61" t="str">
        <x:v>需求澄清、样张确认、风格沉淀、整页图像式 PPT 工作流</x:v>
      </x:c>
      <x:c r="H9" s="61" t="str">
        <x:v>模板和真实演示案例</x:v>
      </x:c>
      <x:c r="I9" s="61" t="str">
        <x:v>持续维护</x:v>
      </x:c>
      <x:c r="J9" s="61" t="str">
        <x:v>开源仓库许可</x:v>
      </x:c>
      <x:c r="K9" s="61" t="str">
        <x:v>对话式确认和风格复用清晰</x:v>
      </x:c>
      <x:c r="L9" s="61" t="str">
        <x:v>原生可编辑能力弱于 JuneYaooo 方案</x:v>
      </x:c>
      <x:c r="M9" s="61" t="str">
        <x:v>既有补强</x:v>
      </x:c>
      <x:c r="N9" s="61" t="str">
        <x:v>https://github.com/ningzimu/codex-ppt-skill</x:v>
      </x:c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 ht="39.599998474121094" hidden="0" customHeight="1">
      <x:c r="A10" s="61" t="str">
        <x:v>Leonxlnx/taste-skill</x:v>
      </x:c>
      <x:c r="B10" s="61" t="str">
        <x:v>视觉导演/审美</x:v>
      </x:c>
      <x:c r="C10" s="61" t="str">
        <x:v>Web 视觉资产</x:v>
      </x:c>
      <x:c r="D10" s="61" t="n">
        <x:v>90</x:v>
      </x:c>
      <x:c r="E10" s="61" t="str">
        <x:v>A</x:v>
      </x:c>
      <x:c r="F10" s="61" t="str">
        <x:v>重点采用</x:v>
      </x:c>
      <x:c r="G10" s="61" t="str">
        <x:v>反 AI 套路；一段一图；构图、叙事、CTA、背景与节奏多样化</x:v>
      </x:c>
      <x:c r="H10" s="61" t="str">
        <x:v>面向前端的审美与构图规则</x:v>
      </x:c>
      <x:c r="I10" s="61" t="str">
        <x:v>持续维护</x:v>
      </x:c>
      <x:c r="J10" s="61" t="str">
        <x:v>开源仓库许可</x:v>
      </x:c>
      <x:c r="K10" s="61" t="str">
        <x:v>补足“写得详细但审美平庸”的问题</x:v>
      </x:c>
      <x:c r="L10" s="61" t="str">
        <x:v>偏网站视觉，不是通用模型语法规范</x:v>
      </x:c>
      <x:c r="M10" s="61" t="str">
        <x:v>既有补强</x:v>
      </x:c>
      <x:c r="N10" s="61" t="str">
        <x:v>https://github.com/Leonxlnx/taste-skill</x:v>
      </x:c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 ht="39.599998474121094" hidden="0" customHeight="1">
      <x:c r="A11" s="61" t="str">
        <x:v>noxx/visual-atelier-skill</x:v>
      </x:c>
      <x:c r="B11" s="61" t="str">
        <x:v>Prompt 编译/执行/回执</x:v>
      </x:c>
      <x:c r="C11" s="61" t="str">
        <x:v>多工作流视觉生产</x:v>
      </x:c>
      <x:c r="D11" s="61" t="n">
        <x:v>89</x:v>
      </x:c>
      <x:c r="E11" s="61" t="str">
        <x:v>A</x:v>
      </x:c>
      <x:c r="F11" s="61" t="str">
        <x:v>重点采用</x:v>
      </x:c>
      <x:c r="G11" s="61" t="str">
        <x:v>8 类工作流；Brief 编译；OpenAI/Gemini 生成与编辑；输出检查；JSON sidecar 回执；测试</x:v>
      </x:c>
      <x:c r="H11" s="61" t="str">
        <x:v>工作流说明、测试、元数据回执</x:v>
      </x:c>
      <x:c r="I11" s="61" t="str">
        <x:v>2026-03 实质更新</x:v>
      </x:c>
      <x:c r="J11" s="61" t="str">
        <x:v>MIT</x:v>
      </x:c>
      <x:c r="K11" s="61" t="str">
        <x:v>可复现性和生产回执设计优秀</x:v>
      </x:c>
      <x:c r="L11" s="61" t="str">
        <x:v>更新频率较低；样例效果库规模有限</x:v>
      </x:c>
      <x:c r="M11" s="61" t="str">
        <x:v>本轮新增</x:v>
      </x:c>
      <x:c r="N11" s="61" t="str">
        <x:v>https://github.com/noxx/visual-atelier-skill</x:v>
      </x:c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 ht="39.599998474121094" hidden="0" customHeight="1">
      <x:c r="A12" s="61" t="str">
        <x:v>yun-666-666/image-prompt-skill</x:v>
      </x:c>
      <x:c r="B12" s="61" t="str">
        <x:v>Prompt 优化/意图保护</x:v>
      </x:c>
      <x:c r="C12" s="61" t="str">
        <x:v>通用提示词优化</x:v>
      </x:c>
      <x:c r="D12" s="61" t="n">
        <x:v>89</x:v>
      </x:c>
      <x:c r="E12" s="61" t="str">
        <x:v>A</x:v>
      </x:c>
      <x:c r="F12" s="61" t="str">
        <x:v>重点采用</x:v>
      </x:c>
      <x:c r="G12" s="61" t="str">
        <x:v>最小有效增强；精确文字；编辑不变量；完整性清单；双语 A/B 样例</x:v>
      </x:c>
      <x:c r="H12" s="61" t="str">
        <x:v>A/B 示例与方法文档</x:v>
      </x:c>
      <x:c r="I12" s="61" t="str">
        <x:v>2026-06 实质更新</x:v>
      </x:c>
      <x:c r="J12" s="61" t="str">
        <x:v>开源仓库许可</x:v>
      </x:c>
      <x:c r="K12" s="61" t="str">
        <x:v>能避免把短需求扩写成冗长噪声</x:v>
      </x:c>
      <x:c r="L12" s="61" t="str">
        <x:v>A/B 没有固定种子或统计检验；部分本地语料路径不可移植</x:v>
      </x:c>
      <x:c r="M12" s="61" t="str">
        <x:v>本轮新增</x:v>
      </x:c>
      <x:c r="N12" s="61" t="str">
        <x:v>https://github.com/yun-666-666/image-prompt-skill</x:v>
      </x:c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 ht="52.79999923706055" hidden="0" customHeight="1">
      <x:c r="A13" s="61" t="str">
        <x:v>Wangnov/gpt-image-2-skill</x:v>
      </x:c>
      <x:c r="B13" s="61" t="str">
        <x:v>执行工具链</x:v>
      </x:c>
      <x:c r="C13" s="61" t="str">
        <x:v>CLI/Desktop/Docker/Skill</x:v>
      </x:c>
      <x:c r="D13" s="61" t="n">
        <x:v>89</x:v>
      </x:c>
      <x:c r="E13" s="61" t="str">
        <x:v>A</x:v>
      </x:c>
      <x:c r="F13" s="61" t="str">
        <x:v>执行层首选</x:v>
      </x:c>
      <x:c r="G13" s="61" t="str">
        <x:v>统一 Rust core；生成/编辑；参考图；透明 PNG；历史；OAuth；JSON 协议；安全与 CI</x:v>
      </x:c>
      <x:c r="H13" s="61" t="str">
        <x:v>157 Rust 测试、98 前端测试、发布链</x:v>
      </x:c>
      <x:c r="I13" s="61" t="str">
        <x:v>2026-07 实质更新</x:v>
      </x:c>
      <x:c r="J13" s="61" t="str">
        <x:v>开源仓库许可</x:v>
      </x:c>
      <x:c r="K13" s="61" t="str">
        <x:v>工程稳定性和多入口支持强</x:v>
      </x:c>
      <x:c r="L13" s="61" t="str">
        <x:v>核心价值是执行与交付，不是原创 Prompt 方法论</x:v>
      </x:c>
      <x:c r="M13" s="61" t="str">
        <x:v>既有确认</x:v>
      </x:c>
      <x:c r="N13" s="61" t="str">
        <x:v>https://github.com/Wangnov/gpt-image-2-skill</x:v>
      </x:c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 ht="26.399999618530273" hidden="0" customHeight="1">
      <x:c r="A14" s="61" t="str">
        <x:v>fzfzerro/image2skill</x:v>
      </x:c>
      <x:c r="B14" s="61" t="str">
        <x:v>图像反推/风格包</x:v>
      </x:c>
      <x:c r="C14" s="61" t="str">
        <x:v>Style Skill Pack</x:v>
      </x:c>
      <x:c r="D14" s="61" t="n">
        <x:v>88</x:v>
      </x:c>
      <x:c r="E14" s="61" t="str">
        <x:v>A</x:v>
      </x:c>
      <x:c r="F14" s="61" t="str">
        <x:v>精选采用</x:v>
      </x:c>
      <x:c r="G14" s="61" t="str">
        <x:v>把样图拆成可复用 Style Skill；基础 Prompt、变体、真实效果图库</x:v>
      </x:c>
      <x:c r="H14" s="61" t="str">
        <x:v>6 个风格包及效果图</x:v>
      </x:c>
      <x:c r="I14" s="61" t="str">
        <x:v>持续维护</x:v>
      </x:c>
      <x:c r="J14" s="61" t="str">
        <x:v>开源仓库许可</x:v>
      </x:c>
      <x:c r="K14" s="61" t="str">
        <x:v>Skill 与案例展示结合自然</x:v>
      </x:c>
      <x:c r="L14" s="61" t="str">
        <x:v>规模较小；部分名人/IP 示例商业使用风险较高</x:v>
      </x:c>
      <x:c r="M14" s="61" t="str">
        <x:v>本轮新增</x:v>
      </x:c>
      <x:c r="N14" s="61" t="str">
        <x:v>https://github.com/fzfzerro/image2skill</x:v>
      </x:c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 ht="26.399999618530273" hidden="0" customHeight="1">
      <x:c r="A15" s="61" t="str">
        <x:v>stevenflyai/multi-agent-image-gen-evals</x:v>
      </x:c>
      <x:c r="B15" s="61" t="str">
        <x:v>评测/回归</x:v>
      </x:c>
      <x:c r="C15" s="61" t="str">
        <x:v>同 Prompt 横评</x:v>
      </x:c>
      <x:c r="D15" s="61" t="n">
        <x:v>88</x:v>
      </x:c>
      <x:c r="E15" s="61" t="str">
        <x:v>A</x:v>
      </x:c>
      <x:c r="F15" s="61" t="str">
        <x:v>评测层采用</x:v>
      </x:c>
      <x:c r="G15" s="61" t="str">
        <x:v>双模型并行；六维评分；独立批评与修订；HIL 门控；全量产物归档</x:v>
      </x:c>
      <x:c r="H15" s="61" t="str">
        <x:v>真实运行截图、测试、审计产物</x:v>
      </x:c>
      <x:c r="I15" s="61" t="str">
        <x:v>2026-07 实质更新</x:v>
      </x:c>
      <x:c r="J15" s="61" t="str">
        <x:v>开源仓库许可</x:v>
      </x:c>
      <x:c r="K15" s="61" t="str">
        <x:v>可做 Prompt 和模型版本回归</x:v>
      </x:c>
      <x:c r="L15" s="61" t="str">
        <x:v>主要评估图像，不直接负责写 Prompt</x:v>
      </x:c>
      <x:c r="M15" s="61" t="str">
        <x:v>既有确认</x:v>
      </x:c>
      <x:c r="N15" s="61" t="str">
        <x:v>https://github.com/stevenflyai/multi-agent-image-gen-evals</x:v>
      </x:c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 ht="52.79999923706055" hidden="0" customHeight="1">
      <x:c r="A16" s="61" t="str">
        <x:v>EddieTYP/image-prompt-library</x:v>
      </x:c>
      <x:c r="B16" s="61" t="str">
        <x:v>资产管理/检索</x:v>
      </x:c>
      <x:c r="C16" s="61" t="str">
        <x:v>私有 Prompt+图片库</x:v>
      </x:c>
      <x:c r="D16" s="61" t="n">
        <x:v>88</x:v>
      </x:c>
      <x:c r="E16" s="61" t="str">
        <x:v>A</x:v>
      </x:c>
      <x:c r="F16" s="61" t="str">
        <x:v>管理层采用</x:v>
      </x:c>
      <x:c r="G16" s="61" t="str">
        <x:v>本地 SQLite；图像优先检索；多语言 Prompt 变体；来源元数据；生成结果入库；备份恢复</x:v>
      </x:c>
      <x:c r="H16" s="61" t="str">
        <x:v>533 个公开演示引用、稳定版本、测试</x:v>
      </x:c>
      <x:c r="I16" s="61" t="str">
        <x:v>2026-07 工程更新</x:v>
      </x:c>
      <x:c r="J16" s="61" t="str">
        <x:v>AGPL-3.0+</x:v>
      </x:c>
      <x:c r="K16" s="61" t="str">
        <x:v>适合作为团队私有提示词资产层</x:v>
      </x:c>
      <x:c r="L16" s="61" t="str">
        <x:v>公开演示内容来自上游聚合，不是原创案例源</x:v>
      </x:c>
      <x:c r="M16" s="61" t="str">
        <x:v>既有确认</x:v>
      </x:c>
      <x:c r="N16" s="61" t="str">
        <x:v>https://github.com/EddieTYP/image-prompt-library</x:v>
      </x:c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 ht="39.599998474121094" hidden="0" customHeight="1">
      <x:c r="A17" s="61" t="str">
        <x:v>junyeo217/codex-gpt-image-2-skill</x:v>
      </x:c>
      <x:c r="B17" s="61" t="str">
        <x:v>Prompt 语法/校验</x:v>
      </x:c>
      <x:c r="C17" s="61" t="str">
        <x:v>结构化单轮生成</x:v>
      </x:c>
      <x:c r="D17" s="61" t="n">
        <x:v>87</x:v>
      </x:c>
      <x:c r="E17" s="61" t="str">
        <x:v>A</x:v>
      </x:c>
      <x:c r="F17" s="61" t="str">
        <x:v>选择性采用</x:v>
      </x:c>
      <x:c r="G17" s="61" t="str">
        <x:v>渐进披露；领域 lanes；核心语法；机械校验；数值锚点；反套路</x:v>
      </x:c>
      <x:c r="H17" s="61" t="str">
        <x:v>参考模块、8 类示例、校验器</x:v>
      </x:c>
      <x:c r="I17" s="61" t="str">
        <x:v>2026-06 实质更新</x:v>
      </x:c>
      <x:c r="J17" s="61" t="str">
        <x:v>开源仓库许可</x:v>
      </x:c>
      <x:c r="K17" s="61" t="str">
        <x:v>结构清楚，适合 Agent 自动加载</x:v>
      </x:c>
      <x:c r="L17" s="61" t="str">
        <x:v>固定尺寸白名单和部分负面词规则过严；一行/一轮偏工作流偏好</x:v>
      </x:c>
      <x:c r="M17" s="61" t="str">
        <x:v>本轮新增</x:v>
      </x:c>
      <x:c r="N17" s="61" t="str">
        <x:v>https://github.com/junyeo217/codex-gpt-image-2-skill</x:v>
      </x:c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 ht="39.599998474121094" hidden="0" customHeight="1">
      <x:c r="A18" s="61" t="str">
        <x:v>shaowen-ye/image-prompt-builder</x:v>
      </x:c>
      <x:c r="B18" s="61" t="str">
        <x:v>科学视觉/红线判断</x:v>
      </x:c>
      <x:c r="C18" s="61" t="str">
        <x:v>科学插图与流程图</x:v>
      </x:c>
      <x:c r="D18" s="61" t="n">
        <x:v>87</x:v>
      </x:c>
      <x:c r="E18" s="61" t="str">
        <x:v>A</x:v>
      </x:c>
      <x:c r="F18" s="61" t="str">
        <x:v>垂直采用</x:v>
      </x:c>
      <x:c r="G18" s="61" t="str">
        <x:v>英文本体+中文审阅；多系列规范；真实数据图/地图/拓扑/精确数值红线；后处理检查</x:v>
      </x:c>
      <x:c r="H18" s="61" t="str">
        <x:v>方法、模板和双语示例</x:v>
      </x:c>
      <x:c r="I18" s="61" t="str">
        <x:v>2026-05 实质更新</x:v>
      </x:c>
      <x:c r="J18" s="61" t="str">
        <x:v>MIT</x:v>
      </x:c>
      <x:c r="K18" s="61" t="str">
        <x:v>对科学与报告视觉的边界判断很成熟</x:v>
      </x:c>
      <x:c r="L18" s="61" t="str">
        <x:v>仓库更新集中在首发阶段；无大规模真实效果库</x:v>
      </x:c>
      <x:c r="M18" s="61" t="str">
        <x:v>本轮新增</x:v>
      </x:c>
      <x:c r="N18" s="61" t="str">
        <x:v>https://github.com/shaowen-ye/image-prompt-builder</x:v>
      </x:c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 ht="26.399999618530273" hidden="0" customHeight="1">
      <x:c r="A19" s="61" t="str">
        <x:v>eugeniughelbur/gpt-image-cookbook</x:v>
      </x:c>
      <x:c r="B19" s="61" t="str">
        <x:v>Skill+CLI+案例</x:v>
      </x:c>
      <x:c r="C19" s="61" t="str">
        <x:v>跨 Provider Cookbook</x:v>
      </x:c>
      <x:c r="D19" s="61" t="n">
        <x:v>87</x:v>
      </x:c>
      <x:c r="E19" s="61" t="str">
        <x:v>A</x:v>
      </x:c>
      <x:c r="F19" s="61" t="str">
        <x:v>精选采用</x:v>
      </x:c>
      <x:c r="G19" s="61" t="str">
        <x:v>分类→检索案例→精炼→CLI 生成；记录 provider/model/quality/size 和成败经验</x:v>
      </x:c>
      <x:c r="H19" s="61" t="str">
        <x:v>自有 CLI 生成的十余个样例</x:v>
      </x:c>
      <x:c r="I19" s="61" t="str">
        <x:v>2026-05 集中更新</x:v>
      </x:c>
      <x:c r="J19" s="61" t="str">
        <x:v>MIT</x:v>
      </x:c>
      <x:c r="K19" s="61" t="str">
        <x:v>少而精，方法与执行结合好</x:v>
      </x:c>
      <x:c r="L19" s="61" t="str">
        <x:v>案例数较少，Imagen/Flux 支持部分仍在演进</x:v>
      </x:c>
      <x:c r="M19" s="61" t="str">
        <x:v>既有确认</x:v>
      </x:c>
      <x:c r="N19" s="61" t="str">
        <x:v>https://github.com/eugeniughelbur/gpt-image-cookbook</x:v>
      </x:c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 ht="26.399999618530273" hidden="0" customHeight="1">
      <x:c r="A20" s="61" t="str">
        <x:v>wuyoscar/GPT-Image2-Skill</x:v>
      </x:c>
      <x:c r="B20" s="61" t="str">
        <x:v>Skill+案例</x:v>
      </x:c>
      <x:c r="C20" s="61" t="str">
        <x:v>混合型案例/生成</x:v>
      </x:c>
      <x:c r="D20" s="61" t="n">
        <x:v>86</x:v>
      </x:c>
      <x:c r="E20" s="61" t="str">
        <x:v>A</x:v>
      </x:c>
      <x:c r="F20" s="61" t="str">
        <x:v>保留上游</x:v>
      </x:c>
      <x:c r="G20" s="61" t="str">
        <x:v>Skill、案例、输出图和操作说明结合；社区传播广</x:v>
      </x:c>
      <x:c r="H20" s="61" t="str">
        <x:v>约 162 个示例及资产</x:v>
      </x:c>
      <x:c r="I20" s="61" t="str">
        <x:v>2026-05 后低频</x:v>
      </x:c>
      <x:c r="J20" s="61" t="str">
        <x:v>开源仓库许可</x:v>
      </x:c>
      <x:c r="K20" s="61" t="str">
        <x:v>是大量衍生仓库的上游，应只保留原仓</x:v>
      </x:c>
      <x:c r="L20" s="61" t="str">
        <x:v>存在大量完整镜像；近期实质更新较少</x:v>
      </x:c>
      <x:c r="M20" s="61" t="str">
        <x:v>既有纠偏</x:v>
      </x:c>
      <x:c r="N20" s="61" t="str">
        <x:v>https://github.com/wuyoscar/GPT-Image2-Skill</x:v>
      </x:c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 ht="39.599998474121094" hidden="0" customHeight="1">
      <x:c r="A21" s="61" t="str">
        <x:v>lidge-jun/ima2-gen</x:v>
      </x:c>
      <x:c r="B21" s="61" t="str">
        <x:v>执行/工作台/Skill</x:v>
      </x:c>
      <x:c r="C21" s="61" t="str">
        <x:v>本地图像工作室</x:v>
      </x:c>
      <x:c r="D21" s="61" t="n">
        <x:v>85</x:v>
      </x:c>
      <x:c r="E21" s="61" t="str">
        <x:v>A</x:v>
      </x:c>
      <x:c r="F21" s="61" t="str">
        <x:v>执行层备选</x:v>
      </x:c>
      <x:c r="G21" s="61" t="str">
        <x:v>Classic/Node/Canvas/Storyboard；Prompt Library 导入；多模型；批量与比较；可观察任务</x:v>
      </x:c>
      <x:c r="H21" s="61" t="str">
        <x:v>大量测试、截图、版本化文档</x:v>
      </x:c>
      <x:c r="I21" s="61" t="str">
        <x:v>2026-07 高频工程更新</x:v>
      </x:c>
      <x:c r="J21" s="61" t="str">
        <x:v>MIT</x:v>
      </x:c>
      <x:c r="K21" s="61" t="str">
        <x:v>功能面和工程成熟度高</x:v>
      </x:c>
      <x:c r="L21" s="61" t="str">
        <x:v>模型与 OAuth 路径较多，不能把其内部别名当官方 API 规范</x:v>
      </x:c>
      <x:c r="M21" s="61" t="str">
        <x:v>既有补强</x:v>
      </x:c>
      <x:c r="N21" s="61" t="str">
        <x:v>https://github.com/lidge-jun/ima2-gen</x:v>
      </x:c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 ht="26.399999618530273" hidden="0" customHeight="1">
      <x:c r="A22" s="61" t="str">
        <x:v>jau123/MeiGen-AI-Design-MCP</x:v>
      </x:c>
      <x:c r="B22" s="61" t="str">
        <x:v>检索/增强/执行</x:v>
      </x:c>
      <x:c r="C22" s="61" t="str">
        <x:v>MCP 设计助手</x:v>
      </x:c>
      <x:c r="D22" s="61" t="n">
        <x:v>84</x:v>
      </x:c>
      <x:c r="E22" s="61" t="str">
        <x:v>A</x:v>
      </x:c>
      <x:c r="F22" s="61" t="str">
        <x:v>执行与检索备选</x:v>
      </x:c>
      <x:c r="G22" s="61" t="str">
        <x:v>Prompt 搜索、灵感、增强、并行子 Agent、图像/视频生成、多后端</x:v>
      </x:c>
      <x:c r="H22" s="61" t="str">
        <x:v>1,446 条上游提示词、产品实拍示例、CLI/MCP</x:v>
      </x:c>
      <x:c r="I22" s="61" t="str">
        <x:v>2026-06 实质更新</x:v>
      </x:c>
      <x:c r="J22" s="61" t="str">
        <x:v>MIT</x:v>
      </x:c>
      <x:c r="K22" s="61" t="str">
        <x:v>适合 MCP 生态中的发现与执行</x:v>
      </x:c>
      <x:c r="L22" s="61" t="str">
        <x:v>提示词库来自上游；模型和商业后端耦合较强</x:v>
      </x:c>
      <x:c r="M22" s="61" t="str">
        <x:v>既有补强</x:v>
      </x:c>
      <x:c r="N22" s="61" t="str">
        <x:v>https://github.com/jau123/MeiGen-AI-Design-MCP</x:v>
      </x:c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 ht="52.79999923706055" hidden="0" customHeight="1">
      <x:c r="A23" s="61" t="str">
        <x:v>aEboli/GPT-Image2-Studio</x:v>
      </x:c>
      <x:c r="B23" s="61" t="str">
        <x:v>工作台/业务流程</x:v>
      </x:c>
      <x:c r="C23" s="61" t="str">
        <x:v>电商/写真/文章/PPT</x:v>
      </x:c>
      <x:c r="D23" s="61" t="n">
        <x:v>84</x:v>
      </x:c>
      <x:c r="E23" s="61" t="str">
        <x:v>A</x:v>
      </x:c>
      <x:c r="F23" s="61" t="str">
        <x:v>业务执行备选</x:v>
      </x:c>
      <x:c r="G23" s="61" t="str">
        <x:v>Prompt 生图、风格迁移、融合分析、蒙版编辑、电商套图、写真、文章插图、PPT、资产记录</x:v>
      </x:c>
      <x:c r="H23" s="61" t="str">
        <x:v>真实界面截图与多业务工作流</x:v>
      </x:c>
      <x:c r="I23" s="61" t="str">
        <x:v>2026-07 实质更新</x:v>
      </x:c>
      <x:c r="J23" s="61" t="str">
        <x:v>开源仓库许可</x:v>
      </x:c>
      <x:c r="K23" s="61" t="str">
        <x:v>业务场景覆盖完整</x:v>
      </x:c>
      <x:c r="L23" s="61" t="str">
        <x:v>更偏工作台；Prompt 方法论和案例来源需单独审查</x:v>
      </x:c>
      <x:c r="M23" s="61" t="str">
        <x:v>既有补强</x:v>
      </x:c>
      <x:c r="N23" s="61" t="str">
        <x:v>https://github.com/aEboli/GPT-Image2-Studio</x:v>
      </x:c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 ht="39.599998474121094" hidden="0" customHeight="1">
      <x:c r="A24" s="61" t="str">
        <x:v>YouMind-OpenLab/gpt-image-2-prompts-search</x:v>
      </x:c>
      <x:c r="B24" s="61" t="str">
        <x:v>检索/推荐 Skill</x:v>
      </x:c>
      <x:c r="C24" s="61" t="str">
        <x:v>大规模召回</x:v>
      </x:c>
      <x:c r="D24" s="61" t="n">
        <x:v>82</x:v>
      </x:c>
      <x:c r="E24" s="61" t="str">
        <x:v>B</x:v>
      </x:c>
      <x:c r="F24" s="61" t="str">
        <x:v>发现层采用</x:v>
      </x:c>
      <x:c r="G24" s="61" t="str">
        <x:v>按用途检索、Top 3 推荐、内容 Remix、Agent Skill 安装</x:v>
      </x:c>
      <x:c r="H24" s="61" t="str">
        <x:v>约 14K 索引与样图</x:v>
      </x:c>
      <x:c r="I24" s="61" t="str">
        <x:v>自动同步</x:v>
      </x:c>
      <x:c r="J24" s="61" t="str">
        <x:v>MIT（代码）</x:v>
      </x:c>
      <x:c r="K24" s="61" t="str">
        <x:v>召回规模大、适合找候选</x:v>
      </x:c>
      <x:c r="L24" s="61" t="str">
        <x:v>近期更新可能只是 manifest 时间戳；质量高度异质，需二次筛选</x:v>
      </x:c>
      <x:c r="M24" s="61" t="str">
        <x:v>既有纠偏</x:v>
      </x:c>
      <x:c r="N24" s="61" t="str">
        <x:v>https://github.com/YouMind-OpenLab/gpt-image-2-prompts-search</x:v>
      </x:c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 ht="39.599998474121094" hidden="0" customHeight="1">
      <x:c r="A25" s="61" t="str">
        <x:v>zhouwei713/gpt-image-2-prompting-skill</x:v>
      </x:c>
      <x:c r="B25" s="61" t="str">
        <x:v>中文提示词扩写</x:v>
      </x:c>
      <x:c r="C25" s="61" t="str">
        <x:v>中文通用</x:v>
      </x:c>
      <x:c r="D25" s="61" t="n">
        <x:v>80</x:v>
      </x:c>
      <x:c r="E25" s="61" t="str">
        <x:v>B</x:v>
      </x:c>
      <x:c r="F25" s="61" t="str">
        <x:v>观察采用</x:v>
      </x:c>
      <x:c r="G25" s="61" t="str">
        <x:v>8 槽 Brief；批量 Prompt Pack；审美词翻译；大量参考</x:v>
      </x:c>
      <x:c r="H25" s="61" t="str">
        <x:v>中文文档和参考语料</x:v>
      </x:c>
      <x:c r="I25" s="61" t="str">
        <x:v>低频</x:v>
      </x:c>
      <x:c r="J25" s="61" t="str">
        <x:v>开源仓库许可</x:v>
      </x:c>
      <x:c r="K25" s="61" t="str">
        <x:v>中文易用性好</x:v>
      </x:c>
      <x:c r="L25" s="61" t="str">
        <x:v>精确文字、编辑、不变量和参数规范深度不足；易过度堆叠描述</x:v>
      </x:c>
      <x:c r="M25" s="61" t="str">
        <x:v>本轮新增</x:v>
      </x:c>
      <x:c r="N25" s="61" t="str">
        <x:v>https://github.com/zhouwei713/gpt-image-2-prompting-skill</x:v>
      </x:c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 ht="39.599998474121094" hidden="0" customHeight="1">
      <x:c r="A26" s="61" t="str">
        <x:v>Litreily/codex-skill-eastern-beauty-director</x:v>
      </x:c>
      <x:c r="B26" s="61" t="str">
        <x:v>垂直视觉导演</x:v>
      </x:c>
      <x:c r="C26" s="61" t="str">
        <x:v>东方美学/小红书</x:v>
      </x:c>
      <x:c r="D26" s="61" t="n">
        <x:v>78</x:v>
      </x:c>
      <x:c r="E26" s="61" t="str">
        <x:v>B</x:v>
      </x:c>
      <x:c r="F26" s="61" t="str">
        <x:v>垂直观察</x:v>
      </x:c>
      <x:c r="G26" s="61" t="str">
        <x:v>面向东方女性肖像、妆造、构图和社媒视觉的导演式字段</x:v>
      </x:c>
      <x:c r="H26" s="61" t="str">
        <x:v>垂直模板与说明</x:v>
      </x:c>
      <x:c r="I26" s="61" t="str">
        <x:v>低频</x:v>
      </x:c>
      <x:c r="J26" s="61" t="str">
        <x:v>开源仓库许可</x:v>
      </x:c>
      <x:c r="K26" s="61" t="str">
        <x:v>在窄场景内可快速形成一致风格</x:v>
      </x:c>
      <x:c r="L26" s="61" t="str">
        <x:v>文化准确性、刻板印象、肖像与商业合规需人工把关</x:v>
      </x:c>
      <x:c r="M26" s="61" t="str">
        <x:v>本轮新增</x:v>
      </x:c>
      <x:c r="N26" s="61" t="str">
        <x:v>https://github.com/Litreily/codex-skill-eastern-beauty-director</x:v>
      </x:c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 ht="26.399999618530273" hidden="0" customHeight="1">
      <x:c r="A27" s="61" t="str">
        <x:v>jezweb/claude-skills（ai-image-generator）</x:v>
      </x:c>
      <x:c r="B27" s="61" t="str">
        <x:v>多模型生成 Skill</x:v>
      </x:c>
      <x:c r="C27" s="61" t="str">
        <x:v>通用执行</x:v>
      </x:c>
      <x:c r="D27" s="61" t="n">
        <x:v>78</x:v>
      </x:c>
      <x:c r="E27" s="61" t="str">
        <x:v>B</x:v>
      </x:c>
      <x:c r="F27" s="61" t="str">
        <x:v>观察采用</x:v>
      </x:c>
      <x:c r="G27" s="61" t="str">
        <x:v>模型选择、五段式 Prompt、API 调用、QA</x:v>
      </x:c>
      <x:c r="H27" s="61" t="str">
        <x:v>Skill 文档与示例</x:v>
      </x:c>
      <x:c r="I27" s="61" t="str">
        <x:v>持续维护</x:v>
      </x:c>
      <x:c r="J27" s="61" t="str">
        <x:v>开源仓库许可</x:v>
      </x:c>
      <x:c r="K27" s="61" t="str">
        <x:v>跨模型执行方便</x:v>
      </x:c>
      <x:c r="L27" s="61" t="str">
        <x:v>模型、价格、透明背景等声明需要持续核验</x:v>
      </x:c>
      <x:c r="M27" s="61" t="str">
        <x:v>本轮新增</x:v>
      </x:c>
      <x:c r="N27" s="61" t="str">
        <x:v>https://github.com/jezweb/claude-skills</x:v>
      </x:c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 ht="39.599998474121094" hidden="0" customHeight="1">
      <x:c r="A28" s="61" t="str">
        <x:v>jackvidal/image-prompt-architect</x:v>
      </x:c>
      <x:c r="B28" s="61" t="str">
        <x:v>图像反推/产品替换</x:v>
      </x:c>
      <x:c r="C28" s="61" t="str">
        <x:v>单段 Prompt 输出</x:v>
      </x:c>
      <x:c r="D28" s="61" t="n">
        <x:v>77</x:v>
      </x:c>
      <x:c r="E28" s="61" t="str">
        <x:v>B</x:v>
      </x:c>
      <x:c r="F28" s="61" t="str">
        <x:v>观察采用</x:v>
      </x:c>
      <x:c r="G28" s="61" t="str">
        <x:v>图像→Prompt、概念→Prompt、参考+产品替换；摄影术语丰富</x:v>
      </x:c>
      <x:c r="H28" s="61" t="str">
        <x:v>单文件 Skill</x:v>
      </x:c>
      <x:c r="I28" s="61" t="str">
        <x:v>低频</x:v>
      </x:c>
      <x:c r="J28" s="61" t="str">
        <x:v>MIT</x:v>
      </x:c>
      <x:c r="K28" s="61" t="str">
        <x:v>简洁，适合摄影和商业产品反推</x:v>
      </x:c>
      <x:c r="L28" s="61" t="str">
        <x:v>把参考图一律翻译成不可见文本，不适合真正多参考图/编辑 API；禁止在 Prompt 中表达方向/比例过于绝对</x:v>
      </x:c>
      <x:c r="M28" s="61" t="str">
        <x:v>本轮新增</x:v>
      </x:c>
      <x:c r="N28" s="61" t="str">
        <x:v>https://github.com/jackvidal/image-prompt-architect</x:v>
      </x:c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 ht="26.399999618530273" hidden="0" customHeight="1">
      <x:c r="A29" s="61" t="str">
        <x:v>AngChow/gpt-image-2-style-library</x:v>
      </x:c>
      <x:c r="B29" s="61" t="str">
        <x:v>风格路由</x:v>
      </x:c>
      <x:c r="C29" s="61" t="str">
        <x:v>轻量模板库</x:v>
      </x:c>
      <x:c r="D29" s="61" t="n">
        <x:v>76</x:v>
      </x:c>
      <x:c r="E29" s="61" t="str">
        <x:v>B</x:v>
      </x:c>
      <x:c r="F29" s="61" t="str">
        <x:v>观察采用</x:v>
      </x:c>
      <x:c r="G29" s="61" t="str">
        <x:v>22+ 风格模板与 6 块输出结构</x:v>
      </x:c>
      <x:c r="H29" s="61" t="str">
        <x:v>模板与说明</x:v>
      </x:c>
      <x:c r="I29" s="61" t="str">
        <x:v>低频</x:v>
      </x:c>
      <x:c r="J29" s="61" t="str">
        <x:v>开源仓库许可</x:v>
      </x:c>
      <x:c r="K29" s="61" t="str">
        <x:v>轻量、易安装</x:v>
      </x:c>
      <x:c r="L29" s="61" t="str">
        <x:v>明确衍生自 freestylefly，非独立原创案例源</x:v>
      </x:c>
      <x:c r="M29" s="61" t="str">
        <x:v>本轮纠偏</x:v>
      </x:c>
      <x:c r="N29" s="61" t="str">
        <x:v>https://github.com/AngChow/gpt-image-2-style-library</x:v>
      </x:c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 ht="26.399999618530273" hidden="0" customHeight="1">
      <x:c r="A30" s="61" t="str">
        <x:v>gokuscraper/gpt-image-2-prompts-skill</x:v>
      </x:c>
      <x:c r="B30" s="61" t="str">
        <x:v>检索/Remix</x:v>
      </x:c>
      <x:c r="C30" s="61" t="str">
        <x:v>大规模提示词搜索</x:v>
      </x:c>
      <x:c r="D30" s="61" t="n">
        <x:v>76</x:v>
      </x:c>
      <x:c r="E30" s="61" t="str">
        <x:v>B</x:v>
      </x:c>
      <x:c r="F30" s="61" t="str">
        <x:v>发现层观察</x:v>
      </x:c>
      <x:c r="G30" s="61" t="str">
        <x:v>15K+ 数据集搜索、Top 3 推荐、内容改写</x:v>
      </x:c>
      <x:c r="H30" s="61" t="str">
        <x:v>大规模索引</x:v>
      </x:c>
      <x:c r="I30" s="61" t="str">
        <x:v>自动/低频</x:v>
      </x:c>
      <x:c r="J30" s="61" t="str">
        <x:v>开源仓库许可</x:v>
      </x:c>
      <x:c r="K30" s="61" t="str">
        <x:v>适合候选发现</x:v>
      </x:c>
      <x:c r="L30" s="61" t="str">
        <x:v>检索不是 Prompt 编译方法；数据质量和授权需单独审计</x:v>
      </x:c>
      <x:c r="M30" s="61" t="str">
        <x:v>本轮新增</x:v>
      </x:c>
      <x:c r="N30" s="61" t="str">
        <x:v>https://github.com/gokuscraper/gpt-image-2-prompts-skill</x:v>
      </x:c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 ht="26.399999618530273" hidden="0" customHeight="1">
      <x:c r="A31" s="61" t="str">
        <x:v>oakplank/claude-gpt-image-bridge</x:v>
      </x:c>
      <x:c r="B31" s="61" t="str">
        <x:v>执行桥接</x:v>
      </x:c>
      <x:c r="C31" s="61" t="str">
        <x:v>Claude→GPT Image</x:v>
      </x:c>
      <x:c r="D31" s="61" t="n">
        <x:v>72</x:v>
      </x:c>
      <x:c r="E31" s="61" t="str">
        <x:v>B</x:v>
      </x:c>
      <x:c r="F31" s="61" t="str">
        <x:v>仅工具层</x:v>
      </x:c>
      <x:c r="G31" s="61" t="str">
        <x:v>提供 Claude 调用 GPT Image 的桥接工具</x:v>
      </x:c>
      <x:c r="H31" s="61" t="str">
        <x:v>执行代码</x:v>
      </x:c>
      <x:c r="I31" s="61" t="str">
        <x:v>低频</x:v>
      </x:c>
      <x:c r="J31" s="61" t="str">
        <x:v>开源仓库许可</x:v>
      </x:c>
      <x:c r="K31" s="61" t="str">
        <x:v>集成简单</x:v>
      </x:c>
      <x:c r="L31" s="61" t="str">
        <x:v>项目明确不负责审美和 Prompt 质量；不能替代上层 Skill</x:v>
      </x:c>
      <x:c r="M31" s="61" t="str">
        <x:v>既有补强</x:v>
      </x:c>
      <x:c r="N31" s="61" t="str">
        <x:v>https://github.com/oakplank/claude-gpt-image-bridge</x:v>
      </x:c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conditionalFormatting sqref="D2:D31">
    <x:cfRule type="colorScale" priority="1">
      <x:colorScale>
        <x:cfvo type="min"/>
        <x:cfvo type="percentile" val="50"/>
        <x:cfvo type="max"/>
        <x:color rgb="FFFCE8E6"/>
        <x:color rgb="FFFFF4CC"/>
        <x:color rgb="FFD9EAD3"/>
      </x:colorScale>
    </x:cfRule>
  </x:conditionalFormatting>
  <x:conditionalFormatting sqref="E2:E31">
    <x:cfRule type="expression" dxfId="0" priority="2">
      <x:formula>E2="S"</x:formula>
    </x:cfRule>
    <x:cfRule type="expression" dxfId="1" priority="3">
      <x:formula>E2="A"</x:formula>
    </x:cfRule>
    <x:cfRule type="expression" dxfId="2" priority="4">
      <x:formula>E2="B"</x:formula>
    </x:cfRule>
    <x:cfRule type="expression" dxfId="3" priority="5">
      <x:formula>E2="C"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f722979afd4e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9" hidden="0" customWidth="1"/>
    <x:col min="5" max="5" width="9" hidden="0" customWidth="1"/>
    <x:col min="6" max="6" width="16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23" hidden="0" customWidth="1"/>
    <x:col min="14" max="14" width="23" hidden="0" customWidth="1"/>
  </x:cols>
  <x:sheetData>
    <x:row r="1" ht="15" hidden="0" customHeight="1">
      <x:c r="A1" s="68" t="str">
        <x:v>项目</x:v>
      </x:c>
      <x:c r="B1" s="68" t="str">
        <x:v>案例类型</x:v>
      </x:c>
      <x:c r="C1" s="68" t="str">
        <x:v>主要角色</x:v>
      </x:c>
      <x:c r="D1" s="68" t="str">
        <x:v>专业分</x:v>
      </x:c>
      <x:c r="E1" s="68" t="str">
        <x:v>等级</x:v>
      </x:c>
      <x:c r="F1" s="68" t="str">
        <x:v>纳入层级</x:v>
      </x:c>
      <x:c r="G1" s="68" t="str">
        <x:v>内容结构</x:v>
      </x:c>
      <x:c r="H1" s="68" t="str">
        <x:v>Prompt/效果证据</x:v>
      </x:c>
      <x:c r="I1" s="68" t="str">
        <x:v>维护状态</x:v>
      </x:c>
      <x:c r="J1" s="68" t="str">
        <x:v>来源/许可</x:v>
      </x:c>
      <x:c r="K1" s="68" t="str">
        <x:v>优势判断</x:v>
      </x:c>
      <x:c r="L1" s="68" t="str">
        <x:v>主要风险</x:v>
      </x:c>
      <x:c r="M1" s="68" t="str">
        <x:v>项目 URL</x:v>
      </x:c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 ht="26.399999618530273" hidden="0" customHeight="1">
      <x:c r="A2" s="61" t="str">
        <x:v>openai/openai-cookbook</x:v>
      </x:c>
      <x:c r="B2" s="61" t="str">
        <x:v>官方案例/规范</x:v>
      </x:c>
      <x:c r="C2" s="61" t="str">
        <x:v>官方核心</x:v>
      </x:c>
      <x:c r="D2" s="61" t="n">
        <x:v>96</x:v>
      </x:c>
      <x:c r="E2" s="61" t="str">
        <x:v>S</x:v>
      </x:c>
      <x:c r="F2" s="61" t="str">
        <x:v>核心采用</x:v>
      </x:c>
      <x:c r="G2" s="61" t="str">
        <x:v>官方 Prompt、代码、参数与生成/编辑示例</x:v>
      </x:c>
      <x:c r="H2" s="61" t="str">
        <x:v>官方样例与 Notebook</x:v>
      </x:c>
      <x:c r="I2" s="61" t="str">
        <x:v>持续维护</x:v>
      </x:c>
      <x:c r="J2" s="61" t="str">
        <x:v>官方来源</x:v>
      </x:c>
      <x:c r="K2" s="61" t="str">
        <x:v>作为第三方案例的真实性与参数基线</x:v>
      </x:c>
      <x:c r="L2" s="61" t="str">
        <x:v>不是大规模风格图库</x:v>
      </x:c>
      <x:c r="M2" s="61" t="str">
        <x:v>https://github.com/openai/openai-cookbook</x:v>
      </x:c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 ht="39.599998474121094" hidden="0" customHeight="1">
      <x:c r="A3" s="61" t="str">
        <x:v>VigoZhao/AI-Visual-Prompt-Cookbook</x:v>
      </x:c>
      <x:c r="B3" s="61" t="str">
        <x:v>结构化风格案例</x:v>
      </x:c>
      <x:c r="C3" s="61" t="str">
        <x:v>核心案例库</x:v>
      </x:c>
      <x:c r="D3" s="61" t="n">
        <x:v>96</x:v>
      </x:c>
      <x:c r="E3" s="61" t="str">
        <x:v>S</x:v>
      </x:c>
      <x:c r="F3" s="61" t="str">
        <x:v>核心采用</x:v>
      </x:c>
      <x:c r="G3" s="61" t="str">
        <x:v>108 风格、216 预览、style.json、变量、最终 Prompt、16:9/9:16 双预览、Schema/CI</x:v>
      </x:c>
      <x:c r="H3" s="61" t="str">
        <x:v>Prompt 与输出一一配对，含风格锚点</x:v>
      </x:c>
      <x:c r="I3" s="61" t="str">
        <x:v>2026-07/08 实质新增</x:v>
      </x:c>
      <x:c r="J3" s="61" t="str">
        <x:v>CC BY 4.0（提示词）/MIT（代码）</x:v>
      </x:c>
      <x:c r="K3" s="61" t="str">
        <x:v>结构、效果展示和可机器读取性最佳</x:v>
      </x:c>
      <x:c r="L3" s="61" t="str">
        <x:v>跨模型可用不等于每条都做过 GPT Image 2 固定版本回归</x:v>
      </x:c>
      <x:c r="M3" s="61" t="str">
        <x:v>https://github.com/VigoZhao/AI-Visual-Prompt-Cookbook</x:v>
      </x:c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 ht="26.399999618530273" hidden="0" customHeight="1">
      <x:c r="A4" s="61" t="str">
        <x:v>JuneYaooo/gpt-image2-ppt-skills</x:v>
      </x:c>
      <x:c r="B4" s="61" t="str">
        <x:v>PPT 输入输出对照</x:v>
      </x:c>
      <x:c r="C4" s="61" t="str">
        <x:v>垂直核心</x:v>
      </x:c>
      <x:c r="D4" s="61" t="n">
        <x:v>91</x:v>
      </x:c>
      <x:c r="E4" s="61" t="str">
        <x:v>A</x:v>
      </x:c>
      <x:c r="F4" s="61" t="str">
        <x:v>垂直采用</x:v>
      </x:c>
      <x:c r="G4" s="61" t="str">
        <x:v>模板输入→生成输出；原图→可编辑 PPTX 回渲染；逐页预览与质量报告</x:v>
      </x:c>
      <x:c r="H4" s="61" t="str">
        <x:v>真实图片、PPTX 和回渲染结果</x:v>
      </x:c>
      <x:c r="I4" s="61" t="str">
        <x:v>2026-08 实质更新</x:v>
      </x:c>
      <x:c r="J4" s="61" t="str">
        <x:v>Apache-2.0</x:v>
      </x:c>
      <x:c r="K4" s="61" t="str">
        <x:v>垂直案例的证据链完整</x:v>
      </x:c>
      <x:c r="L4" s="61" t="str">
        <x:v>案例集中在 PPT，不是通用图库</x:v>
      </x:c>
      <x:c r="M4" s="61" t="str">
        <x:v>https://github.com/JuneYaooo/gpt-image2-ppt-skills</x:v>
      </x:c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 ht="26.399999618530273" hidden="0" customHeight="1">
      <x:c r="A5" s="61" t="str">
        <x:v>ConardLi/gpt-image-2-101</x:v>
      </x:c>
      <x:c r="B5" s="61" t="str">
        <x:v>教程+案例+对话</x:v>
      </x:c>
      <x:c r="C5" s="61" t="str">
        <x:v>核心教材</x:v>
      </x:c>
      <x:c r="D5" s="61" t="n">
        <x:v>89</x:v>
      </x:c>
      <x:c r="E5" s="61" t="str">
        <x:v>A</x:v>
      </x:c>
      <x:c r="F5" s="61" t="str">
        <x:v>核心采用</x:v>
      </x:c>
      <x:c r="G5" s="61" t="str">
        <x:v>161 个真实提示词、79 个模板、17 类；案例、模板和完整对话三层映射</x:v>
      </x:c>
      <x:c r="H5" s="61" t="str">
        <x:v>Prompt、效果图与教程结构</x:v>
      </x:c>
      <x:c r="I5" s="61" t="str">
        <x:v>2026-05 后低频</x:v>
      </x:c>
      <x:c r="J5" s="61" t="str">
        <x:v>开源仓库许可</x:v>
      </x:c>
      <x:c r="K5" s="61" t="str">
        <x:v>系统学习价值高</x:v>
      </x:c>
      <x:c r="L5" s="61" t="str">
        <x:v>不适合作为最新动态源</x:v>
      </x:c>
      <x:c r="M5" s="61" t="str">
        <x:v>https://github.com/ConardLi/gpt-image-2-101</x:v>
      </x:c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 ht="39.599998474121094" hidden="0" customHeight="1">
      <x:c r="A6" s="61" t="str">
        <x:v>mageia/awesome-gpt-image-2-API-and-Prompts</x:v>
      </x:c>
      <x:c r="B6" s="61" t="str">
        <x:v>社区精选案例</x:v>
      </x:c>
      <x:c r="C6" s="61" t="str">
        <x:v>核心候选/发现</x:v>
      </x:c>
      <x:c r="D6" s="61" t="n">
        <x:v>88</x:v>
      </x:c>
      <x:c r="E6" s="61" t="str">
        <x:v>A</x:v>
      </x:c>
      <x:c r="F6" s="61" t="str">
        <x:v>精选采用</x:v>
      </x:c>
      <x:c r="G6" s="61" t="str">
        <x:v>约 911 案例、7 类、完整 Prompt、输出图、作者与原帖链接</x:v>
      </x:c>
      <x:c r="H6" s="61" t="str">
        <x:v>近期提交确实新增案例与输出媒体</x:v>
      </x:c>
      <x:c r="I6" s="61" t="str">
        <x:v>2026-07 实质新增</x:v>
      </x:c>
      <x:c r="J6" s="61" t="str">
        <x:v>仓库宣称 CC0；上游内容权利需逐条核验</x:v>
      </x:c>
      <x:c r="K6" s="61" t="str">
        <x:v>当前 EvoLink 系列中最活跃的主线</x:v>
      </x:c>
      <x:c r="L6" s="61" t="str">
        <x:v>存在大量同内容镜像；X 作者内容不能因仓库 CC0 自动视为可再授权</x:v>
      </x:c>
      <x:c r="M6" s="61" t="str">
        <x:v>https://github.com/mageia/awesome-gpt-image-2-API-and-Prompts</x:v>
      </x:c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 ht="39.599998474121094" hidden="0" customHeight="1">
      <x:c r="A7" s="61" t="str">
        <x:v>g0dam/Awesome-GPT-Image-2-Work-Prompts</x:v>
      </x:c>
      <x:c r="B7" s="61" t="str">
        <x:v>职场/业务视觉</x:v>
      </x:c>
      <x:c r="C7" s="61" t="str">
        <x:v>核心案例库</x:v>
      </x:c>
      <x:c r="D7" s="61" t="n">
        <x:v>88</x:v>
      </x:c>
      <x:c r="E7" s="61" t="str">
        <x:v>A</x:v>
      </x:c>
      <x:c r="F7" s="61" t="str">
        <x:v>核心采用</x:v>
      </x:c>
      <x:c r="G7" s="61" t="str">
        <x:v>100 个原创双语 Prompt、JSON、每条一张生成 PNG、用途/约束/元数据</x:v>
      </x:c>
      <x:c r="H7" s="61" t="str">
        <x:v>Prompt+输出图+结构化数据</x:v>
      </x:c>
      <x:c r="I7" s="61" t="str">
        <x:v>2026-05 集中更新</x:v>
      </x:c>
      <x:c r="J7" s="61" t="str">
        <x:v>MIT</x:v>
      </x:c>
      <x:c r="K7" s="61" t="str">
        <x:v>营销、销售、运营、HR、战略等工作场景覆盖清晰</x:v>
      </x:c>
      <x:c r="L7" s="61" t="str">
        <x:v>近期无实质更新，需自行做版本回归</x:v>
      </x:c>
      <x:c r="M7" s="61" t="str">
        <x:v>https://github.com/g0dam/Awesome-GPT-Image-2-Work-Prompts</x:v>
      </x:c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 ht="26.399999618530273" hidden="0" customHeight="1">
      <x:c r="A8" s="61" t="str">
        <x:v>fzfzerro/image2skill</x:v>
      </x:c>
      <x:c r="B8" s="61" t="str">
        <x:v>风格 Skill+效果</x:v>
      </x:c>
      <x:c r="C8" s="61" t="str">
        <x:v>小而精案例</x:v>
      </x:c>
      <x:c r="D8" s="61" t="n">
        <x:v>88</x:v>
      </x:c>
      <x:c r="E8" s="61" t="str">
        <x:v>A</x:v>
      </x:c>
      <x:c r="F8" s="61" t="str">
        <x:v>精选采用</x:v>
      </x:c>
      <x:c r="G8" s="61" t="str">
        <x:v>6 个风格包，基础 Prompt、变体和实际输出图库</x:v>
      </x:c>
      <x:c r="H8" s="61" t="str">
        <x:v>Prompt 与图像强配对</x:v>
      </x:c>
      <x:c r="I8" s="61" t="str">
        <x:v>持续维护</x:v>
      </x:c>
      <x:c r="J8" s="61" t="str">
        <x:v>开源仓库许可</x:v>
      </x:c>
      <x:c r="K8" s="61" t="str">
        <x:v>非常适合学习“样图→可复用风格协议”</x:v>
      </x:c>
      <x:c r="L8" s="61" t="str">
        <x:v>规模小；部分 IP/名人风格商业风险</x:v>
      </x:c>
      <x:c r="M8" s="61" t="str">
        <x:v>https://github.com/fzfzerro/image2skill</x:v>
      </x:c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 ht="39.599998474121094" hidden="0" customHeight="1">
      <x:c r="A9" s="61" t="str">
        <x:v>eugeniughelbur/gpt-image-cookbook</x:v>
      </x:c>
      <x:c r="B9" s="61" t="str">
        <x:v>自生成 Cookbook</x:v>
      </x:c>
      <x:c r="C9" s="61" t="str">
        <x:v>小而精案例</x:v>
      </x:c>
      <x:c r="D9" s="61" t="n">
        <x:v>87</x:v>
      </x:c>
      <x:c r="E9" s="61" t="str">
        <x:v>A</x:v>
      </x:c>
      <x:c r="F9" s="61" t="str">
        <x:v>精选采用</x:v>
      </x:c>
      <x:c r="G9" s="61" t="str">
        <x:v>海报、UI、摄影、插画、图表、品牌、编辑；记录 provider/model/quality/size 和经验</x:v>
      </x:c>
      <x:c r="H9" s="61" t="str">
        <x:v>项目自身 CLI 生成的真实结果</x:v>
      </x:c>
      <x:c r="I9" s="61" t="str">
        <x:v>2026-05 集中更新</x:v>
      </x:c>
      <x:c r="J9" s="61" t="str">
        <x:v>MIT</x:v>
      </x:c>
      <x:c r="K9" s="61" t="str">
        <x:v>单条案例信息密度高、可复现性好</x:v>
      </x:c>
      <x:c r="L9" s="61" t="str">
        <x:v>真实条目约十余个，规模小</x:v>
      </x:c>
      <x:c r="M9" s="61" t="str">
        <x:v>https://github.com/eugeniughelbur/gpt-image-cookbook</x:v>
      </x:c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 ht="39.599998474121094" hidden="0" customHeight="1">
      <x:c r="A10" s="61" t="str">
        <x:v>JoeSai/awesome-gpt-image-2-commercial-prompts</x:v>
      </x:c>
      <x:c r="B10" s="61" t="str">
        <x:v>商业视觉</x:v>
      </x:c>
      <x:c r="C10" s="61" t="str">
        <x:v>核心商业案例</x:v>
      </x:c>
      <x:c r="D10" s="61" t="n">
        <x:v>86</x:v>
      </x:c>
      <x:c r="E10" s="61" t="str">
        <x:v>A</x:v>
      </x:c>
      <x:c r="F10" s="61" t="str">
        <x:v>精选采用</x:v>
      </x:c>
      <x:c r="G10" s="61" t="str">
        <x:v>汽车、美妆、SaaS、电商、奢侈品等；目标/资产/场景/主体/构图/光线/材质/约束</x:v>
      </x:c>
      <x:c r="H10" s="61" t="str">
        <x:v>双语 Prompt 与预览成对</x:v>
      </x:c>
      <x:c r="I10" s="61" t="str">
        <x:v>2026-04 集中更新</x:v>
      </x:c>
      <x:c r="J10" s="61" t="str">
        <x:v>开源仓库许可</x:v>
      </x:c>
      <x:c r="K10" s="61" t="str">
        <x:v>商业资产结构清晰、可直接改写</x:v>
      </x:c>
      <x:c r="L10" s="61" t="str">
        <x:v>停止更新较早；品牌与广告场景需合规复核</x:v>
      </x:c>
      <x:c r="M10" s="61" t="str">
        <x:v>https://github.com/JoeSai/awesome-gpt-image-2-commercial-prompts</x:v>
      </x:c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 ht="26.399999618530273" hidden="0" customHeight="1">
      <x:c r="A11" s="61" t="str">
        <x:v>freestylefly/awesome-gpt-image-2</x:v>
      </x:c>
      <x:c r="B11" s="61" t="str">
        <x:v>大型中文案例/Prompt-as-Code</x:v>
      </x:c>
      <x:c r="C11" s="61" t="str">
        <x:v>核心发现</x:v>
      </x:c>
      <x:c r="D11" s="61" t="n">
        <x:v>86</x:v>
      </x:c>
      <x:c r="E11" s="61" t="str">
        <x:v>A</x:v>
      </x:c>
      <x:c r="F11" s="61" t="str">
        <x:v>发现层采用</x:v>
      </x:c>
      <x:c r="G11" s="61" t="str">
        <x:v>约 514 案例、20+ 模板、来源链接、双语 Prompt、图片、Style Skill</x:v>
      </x:c>
      <x:c r="H11" s="61" t="str">
        <x:v>大量本地效果图与案例页</x:v>
      </x:c>
      <x:c r="I11" s="61" t="str">
        <x:v>2026-06 后低频</x:v>
      </x:c>
      <x:c r="J11" s="61" t="str">
        <x:v>MIT（仓库）；上游内容需核验</x:v>
      </x:c>
      <x:c r="K11" s="61" t="str">
        <x:v>中文案例丰富、分类广</x:v>
      </x:c>
      <x:c r="L11" s="61" t="str">
        <x:v>混有品牌/IP/艺术家风格、Midjourney flags、8K 等非官方或不可直接复制元素</x:v>
      </x:c>
      <x:c r="M11" s="61" t="str">
        <x:v>https://github.com/freestylefly/awesome-gpt-image-2</x:v>
      </x:c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 ht="26.399999618530273" hidden="0" customHeight="1">
      <x:c r="A12" s="61" t="str">
        <x:v>wuyoscar/GPT-Image2-Skill</x:v>
      </x:c>
      <x:c r="B12" s="61" t="str">
        <x:v>Skill+案例</x:v>
      </x:c>
      <x:c r="C12" s="61" t="str">
        <x:v>混合核心</x:v>
      </x:c>
      <x:c r="D12" s="61" t="n">
        <x:v>86</x:v>
      </x:c>
      <x:c r="E12" s="61" t="str">
        <x:v>A</x:v>
      </x:c>
      <x:c r="F12" s="61" t="str">
        <x:v>保留上游</x:v>
      </x:c>
      <x:c r="G12" s="61" t="str">
        <x:v>Skill、Prompt、输出图和操作示例结合</x:v>
      </x:c>
      <x:c r="H12" s="61" t="str">
        <x:v>约 162 个示例</x:v>
      </x:c>
      <x:c r="I12" s="61" t="str">
        <x:v>2026-05 后低频</x:v>
      </x:c>
      <x:c r="J12" s="61" t="str">
        <x:v>开源仓库许可</x:v>
      </x:c>
      <x:c r="K12" s="61" t="str">
        <x:v>传播广、案例和使用方式结合</x:v>
      </x:c>
      <x:c r="L12" s="61" t="str">
        <x:v>大量镜像；只保留原上游</x:v>
      </x:c>
      <x:c r="M12" s="61" t="str">
        <x:v>https://github.com/wuyoscar/GPT-Image2-Skill</x:v>
      </x:c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 ht="39.599998474121094" hidden="0" customHeight="1">
      <x:c r="A13" s="61" t="str">
        <x:v>lin351540-ship-it/prompt-atlas-jj</x:v>
      </x:c>
      <x:c r="B13" s="61" t="str">
        <x:v>透明聚合图库</x:v>
      </x:c>
      <x:c r="C13" s="61" t="str">
        <x:v>发现层</x:v>
      </x:c>
      <x:c r="D13" s="61" t="n">
        <x:v>85</x:v>
      </x:c>
      <x:c r="E13" s="61" t="str">
        <x:v>A</x:v>
      </x:c>
      <x:c r="F13" s="61" t="str">
        <x:v>发现层采用</x:v>
      </x:c>
      <x:c r="G13" s="61" t="str">
        <x:v>15,902 张卡片；多来源；去重；分片加载；来源/授权/声明值与可验证值区分</x:v>
      </x:c>
      <x:c r="H13" s="61" t="str">
        <x:v>Prompt、图片与来源信息</x:v>
      </x:c>
      <x:c r="I13" s="61" t="str">
        <x:v>每 6 小时同步</x:v>
      </x:c>
      <x:c r="J13" s="61" t="str">
        <x:v>多来源，许可逐条保留</x:v>
      </x:c>
      <x:c r="K13" s="61" t="str">
        <x:v>当前最透明的大规模发现层之一</x:v>
      </x:c>
      <x:c r="L13" s="61" t="str">
        <x:v>不是原创案例库；质量由上游决定</x:v>
      </x:c>
      <x:c r="M13" s="61" t="str">
        <x:v>https://github.com/lin351540-ship-it/prompt-atlas-jj</x:v>
      </x:c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 ht="26.399999618530273" hidden="0" customHeight="1">
      <x:c r="A14" s="61" t="str">
        <x:v>0aicoder0/gpt-image-2-prompt-gallery</x:v>
      </x:c>
      <x:c r="B14" s="61" t="str">
        <x:v>分类案例图库</x:v>
      </x:c>
      <x:c r="C14" s="61" t="str">
        <x:v>精选案例</x:v>
      </x:c>
      <x:c r="D14" s="61" t="n">
        <x:v>84</x:v>
      </x:c>
      <x:c r="E14" s="61" t="str">
        <x:v>A</x:v>
      </x:c>
      <x:c r="F14" s="61" t="str">
        <x:v>精选采用</x:v>
      </x:c>
      <x:c r="G14" s="61" t="str">
        <x:v>动画、摄影、产品、技术图、UI、科学、编辑等多类；完整 Prompt 与图片</x:v>
      </x:c>
      <x:c r="H14" s="61" t="str">
        <x:v>README 与分类 Gallery</x:v>
      </x:c>
      <x:c r="I14" s="61" t="str">
        <x:v>2026-07 集中更新</x:v>
      </x:c>
      <x:c r="J14" s="61" t="str">
        <x:v>开源仓库许可</x:v>
      </x:c>
      <x:c r="K14" s="61" t="str">
        <x:v>分类覆盖广、效果展示直接</x:v>
      </x:c>
      <x:c r="L14" s="61" t="str">
        <x:v>更新集中在首发期；部分媒体风格/IP Prompt 风险</x:v>
      </x:c>
      <x:c r="M14" s="61" t="str">
        <x:v>https://github.com/0aicoder0/gpt-image-2-prompt-gallery</x:v>
      </x:c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 ht="39.599998474121094" hidden="0" customHeight="1">
      <x:c r="A15" s="61" t="str">
        <x:v>yinxiaowai/awesome-gpt-image-2-vs-nano-banana-2-prompt-gallery</x:v>
      </x:c>
      <x:c r="B15" s="61" t="str">
        <x:v>同 Prompt 模型对照</x:v>
      </x:c>
      <x:c r="C15" s="61" t="str">
        <x:v>评测图库</x:v>
      </x:c>
      <x:c r="D15" s="61" t="n">
        <x:v>84</x:v>
      </x:c>
      <x:c r="E15" s="61" t="str">
        <x:v>A</x:v>
      </x:c>
      <x:c r="F15" s="61" t="str">
        <x:v>评测采用</x:v>
      </x:c>
      <x:c r="G15" s="61" t="str">
        <x:v>同一 Prompt 在 GPT Image 2 与 Nano Banana 2 的并排输出</x:v>
      </x:c>
      <x:c r="H15" s="61" t="str">
        <x:v>约 200 张对照图</x:v>
      </x:c>
      <x:c r="I15" s="61" t="str">
        <x:v>低频</x:v>
      </x:c>
      <x:c r="J15" s="61" t="str">
        <x:v>开源仓库许可</x:v>
      </x:c>
      <x:c r="K15" s="61" t="str">
        <x:v>适合能力边界和模型选择研究</x:v>
      </x:c>
      <x:c r="L15" s="61" t="str">
        <x:v>缺固定种子、完整参数快照与统计设计；Prompt 本身常较简单</x:v>
      </x:c>
      <x:c r="M15" s="61" t="str">
        <x:v>https://github.com/yinxiaowai/awesome-gpt-image-2-vs-nano-banana-2-prompt-gallery</x:v>
      </x:c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 ht="39.599998474121094" hidden="0" customHeight="1">
      <x:c r="A16" s="61" t="str">
        <x:v>EddieTYP/image-prompt-library（公开 Demo）</x:v>
      </x:c>
      <x:c r="B16" s="61" t="str">
        <x:v>图像优先聚合目录</x:v>
      </x:c>
      <x:c r="C16" s="61" t="str">
        <x:v>发现/管理层</x:v>
      </x:c>
      <x:c r="D16" s="61" t="n">
        <x:v>84</x:v>
      </x:c>
      <x:c r="E16" s="61" t="str">
        <x:v>A</x:v>
      </x:c>
      <x:c r="F16" s="61" t="str">
        <x:v>发现层采用</x:v>
      </x:c>
      <x:c r="G16" s="61" t="str">
        <x:v>533 个 Prompt/图片引用；多语言变体；来源/许可明确；本地私库可接续管理</x:v>
      </x:c>
      <x:c r="H16" s="61" t="str">
        <x:v>上游案例的可浏览卡片</x:v>
      </x:c>
      <x:c r="I16" s="61" t="str">
        <x:v>2026-07 工程更新</x:v>
      </x:c>
      <x:c r="J16" s="61" t="str">
        <x:v>上游许可+AGPL 应用</x:v>
      </x:c>
      <x:c r="K16" s="61" t="str">
        <x:v>检索和资产管理体验好，归因透明</x:v>
      </x:c>
      <x:c r="L16" s="61" t="str">
        <x:v>公开内容来自 wuyoscar 与 freestylefly，不是第三个独立案例源</x:v>
      </x:c>
      <x:c r="M16" s="61" t="str">
        <x:v>https://github.com/EddieTYP/image-prompt-library</x:v>
      </x:c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 ht="39.599998474121094" hidden="0" customHeight="1">
      <x:c r="A17" s="61" t="str">
        <x:v>Shannon4Science/PosterMELD</x:v>
      </x:c>
      <x:c r="B17" s="61" t="str">
        <x:v>学术海报生成与评测</x:v>
      </x:c>
      <x:c r="C17" s="61" t="str">
        <x:v>垂直效果/Benchmark</x:v>
      </x:c>
      <x:c r="D17" s="61" t="n">
        <x:v>83</x:v>
      </x:c>
      <x:c r="E17" s="61" t="str">
        <x:v>B</x:v>
      </x:c>
      <x:c r="F17" s="61" t="str">
        <x:v>垂直观察</x:v>
      </x:c>
      <x:c r="G17" s="61" t="str">
        <x:v>论文→可编辑 PPTX/PNG；24 模板；621 篇 Benchmark；与 GPT-Image-2 等方法对照</x:v>
      </x:c>
      <x:c r="H17" s="61" t="str">
        <x:v>真实海报、模板、评测代码与结果</x:v>
      </x:c>
      <x:c r="I17" s="61" t="str">
        <x:v>2026-08 新发布</x:v>
      </x:c>
      <x:c r="J17" s="61" t="str">
        <x:v>MIT</x:v>
      </x:c>
      <x:c r="K17" s="61" t="str">
        <x:v>适合研究高密度海报与可编辑输出</x:v>
      </x:c>
      <x:c r="L17" s="61" t="str">
        <x:v>不是提示词案例库；指标与实现需独立复核</x:v>
      </x:c>
      <x:c r="M17" s="61" t="str">
        <x:v>https://github.com/Shannon4Science/PosterMELD</x:v>
      </x:c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 ht="39.599998474121094" hidden="0" customHeight="1">
      <x:c r="A18" s="61" t="str">
        <x:v>YouMind-OpenLab/awesome-gpt-image-2</x:v>
      </x:c>
      <x:c r="B18" s="61" t="str">
        <x:v>大规模社区图库</x:v>
      </x:c>
      <x:c r="C18" s="61" t="str">
        <x:v>发现层</x:v>
      </x:c>
      <x:c r="D18" s="61" t="n">
        <x:v>80</x:v>
      </x:c>
      <x:c r="E18" s="61" t="str">
        <x:v>B</x:v>
      </x:c>
      <x:c r="F18" s="61" t="str">
        <x:v>发现层观察</x:v>
      </x:c>
      <x:c r="G18" s="61" t="str">
        <x:v>14K+ Prompt、图片、用途分类、多语言</x:v>
      </x:c>
      <x:c r="H18" s="61" t="str">
        <x:v>大规模索引</x:v>
      </x:c>
      <x:c r="I18" s="61" t="str">
        <x:v>自动同步</x:v>
      </x:c>
      <x:c r="J18" s="61" t="str">
        <x:v>代码/数据许可需逐条核验</x:v>
      </x:c>
      <x:c r="K18" s="61" t="str">
        <x:v>召回规模大</x:v>
      </x:c>
      <x:c r="L18" s="61" t="str">
        <x:v>近期提交可能只更新时间戳；质量与来源高度异质</x:v>
      </x:c>
      <x:c r="M18" s="61" t="str">
        <x:v>https://github.com/YouMind-OpenLab/awesome-gpt-image-2</x:v>
      </x:c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 ht="39.599998474121094" hidden="0" customHeight="1">
      <x:c r="A19" s="61" t="str">
        <x:v>AtlasCloudAI/awesome-gpt-image-2-prompts</x:v>
      </x:c>
      <x:c r="B19" s="61" t="str">
        <x:v>社区 Prompt 图库</x:v>
      </x:c>
      <x:c r="C19" s="61" t="str">
        <x:v>发现层</x:v>
      </x:c>
      <x:c r="D19" s="61" t="n">
        <x:v>78</x:v>
      </x:c>
      <x:c r="E19" s="61" t="str">
        <x:v>B</x:v>
      </x:c>
      <x:c r="F19" s="61" t="str">
        <x:v>发现层观察</x:v>
      </x:c>
      <x:c r="G19" s="61" t="str">
        <x:v>数千 Prompt、预览、作者与来源链接、多语言</x:v>
      </x:c>
      <x:c r="H19" s="61" t="str">
        <x:v>Prompt 与预览图</x:v>
      </x:c>
      <x:c r="I19" s="61" t="str">
        <x:v>自动生成</x:v>
      </x:c>
      <x:c r="J19" s="61" t="str">
        <x:v>CC BY 4.0 声明；第三方来源需核验</x:v>
      </x:c>
      <x:c r="K19" s="61" t="str">
        <x:v>浏览和分类方便</x:v>
      </x:c>
      <x:c r="L19" s="61" t="str">
        <x:v>从详细 JSON 到一句话 Prompt 都有，质量跨度大；曾出现仅时间戳变化的“更新”</x:v>
      </x:c>
      <x:c r="M19" s="61" t="str">
        <x:v>https://github.com/AtlasCloudAI/awesome-gpt-image-2-prompts</x:v>
      </x:c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 ht="39.599998474121094" hidden="0" customHeight="1">
      <x:c r="A20" s="61" t="str">
        <x:v>YouMind-OpenLab/gpt-image-2-prompts-search</x:v>
      </x:c>
      <x:c r="B20" s="61" t="str">
        <x:v>检索数据集</x:v>
      </x:c>
      <x:c r="C20" s="61" t="str">
        <x:v>发现层</x:v>
      </x:c>
      <x:c r="D20" s="61" t="n">
        <x:v>78</x:v>
      </x:c>
      <x:c r="E20" s="61" t="str">
        <x:v>B</x:v>
      </x:c>
      <x:c r="F20" s="61" t="str">
        <x:v>发现层观察</x:v>
      </x:c>
      <x:c r="G20" s="61" t="str">
        <x:v>按用途拆分 JSON、Prompt 与样图、Agent 检索</x:v>
      </x:c>
      <x:c r="H20" s="61" t="str">
        <x:v>约 14K 记录</x:v>
      </x:c>
      <x:c r="I20" s="61" t="str">
        <x:v>自动同步</x:v>
      </x:c>
      <x:c r="J20" s="61" t="str">
        <x:v>MIT（代码）</x:v>
      </x:c>
      <x:c r="K20" s="61" t="str">
        <x:v>适合程序化召回</x:v>
      </x:c>
      <x:c r="L20" s="61" t="str">
        <x:v>manifest 更新时间变化不代表新内容；核心质量依赖上游</x:v>
      </x:c>
      <x:c r="M20" s="61" t="str">
        <x:v>https://github.com/YouMind-OpenLab/gpt-image-2-prompts-search</x:v>
      </x:c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 ht="39.599998474121094" hidden="0" customHeight="1">
      <x:c r="A21" s="61" t="str">
        <x:v>Pixmind-io/awesome-gpt-image-2-prompts</x:v>
      </x:c>
      <x:c r="B21" s="61" t="str">
        <x:v>社区图库</x:v>
      </x:c>
      <x:c r="C21" s="61" t="str">
        <x:v>补充发现</x:v>
      </x:c>
      <x:c r="D21" s="61" t="n">
        <x:v>75</x:v>
      </x:c>
      <x:c r="E21" s="61" t="str">
        <x:v>B</x:v>
      </x:c>
      <x:c r="F21" s="61" t="str">
        <x:v>补充观察</x:v>
      </x:c>
      <x:c r="G21" s="61" t="str">
        <x:v>约 150 Prompt 与输出，分类较广</x:v>
      </x:c>
      <x:c r="H21" s="61" t="str">
        <x:v>Prompt+图片</x:v>
      </x:c>
      <x:c r="I21" s="61" t="str">
        <x:v>2026-05 后低频</x:v>
      </x:c>
      <x:c r="J21" s="61" t="str">
        <x:v>开源仓库许可</x:v>
      </x:c>
      <x:c r="K21" s="61" t="str">
        <x:v>可补充风格和用途</x:v>
      </x:c>
      <x:c r="L21" s="61" t="str">
        <x:v>来源、模型命名与授权边界不够清晰；含大量品牌/艺术家/IP 风格</x:v>
      </x:c>
      <x:c r="M21" s="61" t="str">
        <x:v>https://github.com/Pixmind-io/awesome-gpt-image-2-prompts</x:v>
      </x:c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 ht="39.599998474121094" hidden="0" customHeight="1">
      <x:c r="A22" s="61" t="str">
        <x:v>davidwuw0811-boop/awesome-gpt-image2-prompts</x:v>
      </x:c>
      <x:c r="B22" s="61" t="str">
        <x:v>多源聚合站</x:v>
      </x:c>
      <x:c r="C22" s="61" t="str">
        <x:v>发现层</x:v>
      </x:c>
      <x:c r="D22" s="61" t="n">
        <x:v>74</x:v>
      </x:c>
      <x:c r="E22" s="61" t="str">
        <x:v>B</x:v>
      </x:c>
      <x:c r="F22" s="61" t="str">
        <x:v>发现层观察</x:v>
      </x:c>
      <x:c r="G22" s="61" t="str">
        <x:v>聚合 itgoyo、moosl、freestylefly、open-design 等；提供搜索与复制</x:v>
      </x:c>
      <x:c r="H22" s="61" t="str">
        <x:v>多来源卡片</x:v>
      </x:c>
      <x:c r="I22" s="61" t="str">
        <x:v>低频</x:v>
      </x:c>
      <x:c r="J22" s="61" t="str">
        <x:v>上游许可混合</x:v>
      </x:c>
      <x:c r="K22" s="61" t="str">
        <x:v>适合一次性搜多个上游</x:v>
      </x:c>
      <x:c r="L22" s="61" t="str">
        <x:v>Prompt 与效果图配对、来源去重和原创性较弱</x:v>
      </x:c>
      <x:c r="M22" s="61" t="str">
        <x:v>https://github.com/davidwuw0811-boop/awesome-gpt-image2-prompts</x:v>
      </x:c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 ht="26.399999618530273" hidden="0" customHeight="1">
      <x:c r="A23" s="61" t="str">
        <x:v>hurris1/gpt-image2-explorer</x:v>
      </x:c>
      <x:c r="B23" s="61" t="str">
        <x:v>双源静态浏览器</x:v>
      </x:c>
      <x:c r="C23" s="61" t="str">
        <x:v>发现层</x:v>
      </x:c>
      <x:c r="D23" s="61" t="n">
        <x:v>73</x:v>
      </x:c>
      <x:c r="E23" s="61" t="str">
        <x:v>B</x:v>
      </x:c>
      <x:c r="F23" s="61" t="str">
        <x:v>发现层观察</x:v>
      </x:c>
      <x:c r="G23" s="61" t="str">
        <x:v>聚合两个开源源，约 3,157 条 Prompt、2,975 张图；中英搜索和分类</x:v>
      </x:c>
      <x:c r="H23" s="61" t="str">
        <x:v>本地数据与图片</x:v>
      </x:c>
      <x:c r="I23" s="61" t="str">
        <x:v>需手动更新</x:v>
      </x:c>
      <x:c r="J23" s="61" t="str">
        <x:v>MIT（代码）+上游许可</x:v>
      </x:c>
      <x:c r="K23" s="61" t="str">
        <x:v>适合离线浏览</x:v>
      </x:c>
      <x:c r="L23" s="61" t="str">
        <x:v>不是原创案例源；数据更新与授权完全依赖上游</x:v>
      </x:c>
      <x:c r="M23" s="61" t="str">
        <x:v>https://github.com/hurris1/gpt-image2-explorer</x:v>
      </x:c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 ht="39.599998474121094" hidden="0" customHeight="1">
      <x:c r="A24" s="61" t="str">
        <x:v>imagineVid/Awesome-gpt-image-2-prompts-and-skills</x:v>
      </x:c>
      <x:c r="B24" s="61" t="str">
        <x:v>自动更新列表</x:v>
      </x:c>
      <x:c r="C24" s="61" t="str">
        <x:v>观察区</x:v>
      </x:c>
      <x:c r="D24" s="61" t="n">
        <x:v>55</x:v>
      </x:c>
      <x:c r="E24" s="61" t="str">
        <x:v>C</x:v>
      </x:c>
      <x:c r="F24" s="61" t="str">
        <x:v>不纳入核心</x:v>
      </x:c>
      <x:c r="G24" s="61" t="str">
        <x:v>高频自动更新 README</x:v>
      </x:c>
      <x:c r="H24" s="61" t="str">
        <x:v>主要是自动生成文档</x:v>
      </x:c>
      <x:c r="I24" s="61" t="str">
        <x:v>2026-07/08 高频自动提交</x:v>
      </x:c>
      <x:c r="J24" s="61" t="str">
        <x:v>待核验</x:v>
      </x:c>
      <x:c r="K24" s="61" t="str">
        <x:v>可观察生态链接变化</x:v>
      </x:c>
      <x:c r="L24" s="61" t="str">
        <x:v>提交标题长期仅为 auto-update README，不能据此认定案例实质增长</x:v>
      </x:c>
      <x:c r="M24" s="61" t="str">
        <x:v>https://github.com/imagineVid/Awesome-gpt-image-2-prompts-and-skills</x:v>
      </x:c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 ht="39.599998474121094" hidden="0" customHeight="1">
      <x:c r="A25" s="61" t="str">
        <x:v>tigerowo/awesome-gpt-image-2-prompts</x:v>
      </x:c>
      <x:c r="B25" s="61" t="str">
        <x:v>EvoLink 备份/镜像</x:v>
      </x:c>
      <x:c r="C25" s="61" t="str">
        <x:v>镜像排除</x:v>
      </x:c>
      <x:c r="D25" s="61" t="n">
        <x:v>45</x:v>
      </x:c>
      <x:c r="E25" s="61" t="str">
        <x:v>C</x:v>
      </x:c>
      <x:c r="F25" s="61" t="str">
        <x:v>排除独立计数</x:v>
      </x:c>
      <x:c r="G25" s="61" t="str">
        <x:v>曾新增若干案例，但 README 为空且提交明确标注 EvoLinkAI backup</x:v>
      </x:c>
      <x:c r="H25" s="61" t="str">
        <x:v>镜像资产</x:v>
      </x:c>
      <x:c r="I25" s="61" t="str">
        <x:v>2026-07 更新</x:v>
      </x:c>
      <x:c r="J25" s="61" t="str">
        <x:v>随上游</x:v>
      </x:c>
      <x:c r="K25" s="61" t="str">
        <x:v>可作灾备</x:v>
      </x:c>
      <x:c r="L25" s="61" t="str">
        <x:v>不是独立原创项目</x:v>
      </x:c>
      <x:c r="M25" s="61" t="str">
        <x:v>https://github.com/tigerowo/awesome-gpt-image-2-prompts</x:v>
      </x:c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 ht="26.399999618530273" hidden="0" customHeight="1">
      <x:c r="A26" s="61" t="str">
        <x:v>zhuihunzhe/gpt-image2-prompt-skill</x:v>
      </x:c>
      <x:c r="B26" s="61" t="str">
        <x:v>freestylefly 复制线</x:v>
      </x:c>
      <x:c r="C26" s="61" t="str">
        <x:v>镜像排除</x:v>
      </x:c>
      <x:c r="D26" s="61" t="n">
        <x:v>42</x:v>
      </x:c>
      <x:c r="E26" s="61" t="str">
        <x:v>C</x:v>
      </x:c>
      <x:c r="F26" s="61" t="str">
        <x:v>排除独立计数</x:v>
      </x:c>
      <x:c r="G26" s="61" t="str">
        <x:v>README 徽章和内容直接指向 freestylefly；后续删除多目录</x:v>
      </x:c>
      <x:c r="H26" s="61" t="str">
        <x:v>复制案例</x:v>
      </x:c>
      <x:c r="I26" s="61" t="str">
        <x:v>2026-06 后停止</x:v>
      </x:c>
      <x:c r="J26" s="61" t="str">
        <x:v>随上游</x:v>
      </x:c>
      <x:c r="K26" s="61" t="str">
        <x:v>无独立价值</x:v>
      </x:c>
      <x:c r="L26" s="61" t="str">
        <x:v>不可与 freestylefly 重复计数</x:v>
      </x:c>
      <x:c r="M26" s="61" t="str">
        <x:v>https://github.com/zhuihunzhe/gpt-image2-prompt-skill</x:v>
      </x:c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 ht="26.399999618530273" hidden="0" customHeight="1">
      <x:c r="A27" s="61" t="str">
        <x:v>Michae1y/gpt-image2-skill-gallery</x:v>
      </x:c>
      <x:c r="B27" s="61" t="str">
        <x:v>wuyoscar 衍生静态站</x:v>
      </x:c>
      <x:c r="C27" s="61" t="str">
        <x:v>衍生排除</x:v>
      </x:c>
      <x:c r="D27" s="61" t="n">
        <x:v>45</x:v>
      </x:c>
      <x:c r="E27" s="61" t="str">
        <x:v>C</x:v>
      </x:c>
      <x:c r="F27" s="61" t="str">
        <x:v>排除独立计数</x:v>
      </x:c>
      <x:c r="G27" s="61" t="str">
        <x:v>明确从 wuyoscar 整理出的静态 Gallery</x:v>
      </x:c>
      <x:c r="H27" s="61" t="str">
        <x:v>上游案例展示</x:v>
      </x:c>
      <x:c r="I27" s="61" t="str">
        <x:v>低频</x:v>
      </x:c>
      <x:c r="J27" s="61" t="str">
        <x:v>随上游</x:v>
      </x:c>
      <x:c r="K27" s="61" t="str">
        <x:v>可作浏览界面</x:v>
      </x:c>
      <x:c r="L27" s="61" t="str">
        <x:v>不是独立案例来源</x:v>
      </x:c>
      <x:c r="M27" s="61" t="str">
        <x:v>https://github.com/Michae1y/gpt-image2-skill-gallery</x:v>
      </x:c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 ht="39.599998474121094" hidden="0" customHeight="1">
      <x:c r="A28" s="61" t="str">
        <x:v>LeonSooLab / chattydogmagazine / GuomingXu 等</x:v>
      </x:c>
      <x:c r="B28" s="61" t="str">
        <x:v>EvoLink 同内容镜像</x:v>
      </x:c>
      <x:c r="C28" s="61" t="str">
        <x:v>镜像排除</x:v>
      </x:c>
      <x:c r="D28" s="61" t="n">
        <x:v>40</x:v>
      </x:c>
      <x:c r="E28" s="61" t="str">
        <x:v>C</x:v>
      </x:c>
      <x:c r="F28" s="61" t="str">
        <x:v>排除独立计数</x:v>
      </x:c>
      <x:c r="G28" s="61" t="str">
        <x:v>README、品牌、图片路径和案例结构高度一致</x:v>
      </x:c>
      <x:c r="H28" s="61" t="str">
        <x:v>重复内容</x:v>
      </x:c>
      <x:c r="I28" s="61" t="str">
        <x:v>不一</x:v>
      </x:c>
      <x:c r="J28" s="61" t="str">
        <x:v>随上游</x:v>
      </x:c>
      <x:c r="K28" s="61" t="str">
        <x:v>无新增信息</x:v>
      </x:c>
      <x:c r="L28" s="61" t="str">
        <x:v>仅保留当前活跃上游/主线一份</x:v>
      </x:c>
      <x:c r="M28" s="61" t="str">
        <x:v>https://github.com/LeonSooLab/awesome-gpt-image-2-API-and-Prompts</x:v>
      </x:c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conditionalFormatting sqref="D2:D28">
    <x:cfRule type="colorScale" priority="1">
      <x:colorScale>
        <x:cfvo type="min"/>
        <x:cfvo type="percentile" val="50"/>
        <x:cfvo type="max"/>
        <x:color rgb="FFFCE8E6"/>
        <x:color rgb="FFFFF4CC"/>
        <x:color rgb="FFD9EAD3"/>
      </x:colorScale>
    </x:cfRule>
  </x:conditionalFormatting>
  <x:conditionalFormatting sqref="E2:E28">
    <x:cfRule type="expression" dxfId="4" priority="2">
      <x:formula>E2="S"</x:formula>
    </x:cfRule>
    <x:cfRule type="expression" dxfId="5" priority="3">
      <x:formula>E2="A"</x:formula>
    </x:cfRule>
    <x:cfRule type="expression" dxfId="6" priority="4">
      <x:formula>E2="B"</x:formula>
    </x:cfRule>
    <x:cfRule type="expression" dxfId="7" priority="5">
      <x:formula>E2="C"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5aa637c03844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64" hidden="0" customWidth="1"/>
    <x:col min="5" max="5" width="15" hidden="0" customWidth="1"/>
  </x:cols>
  <x:sheetData>
    <x:row r="1" ht="15" hidden="0" customHeight="1">
      <x:c r="A1" s="68" t="str">
        <x:v>项目/发现</x:v>
      </x:c>
      <x:c r="B1" s="68" t="str">
        <x:v>类别</x:v>
      </x:c>
      <x:c r="C1" s="68" t="str">
        <x:v>处理</x:v>
      </x:c>
      <x:c r="D1" s="68" t="str">
        <x:v>新结论</x:v>
      </x:c>
      <x:c r="E1" s="68" t="str">
        <x:v>当前等级</x:v>
      </x:c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 ht="26.399999618530273" hidden="0" customHeight="1">
      <x:c r="A2" s="61" t="str">
        <x:v>openai/codex imagegen</x:v>
      </x:c>
      <x:c r="B2" s="61" t="str">
        <x:v>Skill</x:v>
      </x:c>
      <x:c r="C2" s="61" t="str">
        <x:v>新增主榜</x:v>
      </x:c>
      <x:c r="D2" s="61" t="str">
        <x:v>官方内置 Skill 成为最高规范基线；比第三方“扩写 Prompt”更重视输入角色、精确文字、不变量与迭代</x:v>
      </x:c>
      <x:c r="E2" s="61" t="str">
        <x:v>S/核心</x:v>
      </x:c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 ht="15" hidden="0" customHeight="1">
      <x:c r="A3" s="61" t="str">
        <x:v>veryCoolTimo/imagegen-skills</x:v>
      </x:c>
      <x:c r="B3" s="61" t="str">
        <x:v>Skill</x:v>
      </x:c>
      <x:c r="C3" s="61" t="str">
        <x:v>新增主榜</x:v>
      </x:c>
      <x:c r="D3" s="61" t="str">
        <x:v>通用提示词系统与 GPT Image 2 适配结合，结构完整且 2026-07 有实质更新</x:v>
      </x:c>
      <x:c r="E3" s="61" t="str">
        <x:v>S/核心</x:v>
      </x:c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 ht="26.399999618530273" hidden="0" customHeight="1">
      <x:c r="A4" s="61" t="str">
        <x:v>trin-zenityx/image-craft-lv</x:v>
      </x:c>
      <x:c r="B4" s="61" t="str">
        <x:v>Skill</x:v>
      </x:c>
      <x:c r="C4" s="61" t="str">
        <x:v>新增重点</x:v>
      </x:c>
      <x:c r="D4" s="61" t="str">
        <x:v>引入可验证 Lessons、A/B Arena、Batch Gate 和 Post-review；是少见的自我改进质量层</x:v>
      </x:c>
      <x:c r="E4" s="61" t="str">
        <x:v>A/重点</x:v>
      </x:c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 ht="15" hidden="0" customHeight="1">
      <x:c r="A5" s="61" t="str">
        <x:v>noxx/visual-atelier-skill</x:v>
      </x:c>
      <x:c r="B5" s="61" t="str">
        <x:v>Skill</x:v>
      </x:c>
      <x:c r="C5" s="61" t="str">
        <x:v>新增重点</x:v>
      </x:c>
      <x:c r="D5" s="61" t="str">
        <x:v>Brief 编译、真实 Provider、输出检查和 sidecar 回执形成可复现生产链</x:v>
      </x:c>
      <x:c r="E5" s="61" t="str">
        <x:v>A/重点</x:v>
      </x:c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 ht="15" hidden="0" customHeight="1">
      <x:c r="A6" s="61" t="str">
        <x:v>shaowen-ye/image-prompt-builder</x:v>
      </x:c>
      <x:c r="B6" s="61" t="str">
        <x:v>Skill</x:v>
      </x:c>
      <x:c r="C6" s="61" t="str">
        <x:v>新增垂直</x:v>
      </x:c>
      <x:c r="D6" s="61" t="str">
        <x:v>对科学图、流程图和真实数据红线判断成熟，避免用图像模型伪造精确图件</x:v>
      </x:c>
      <x:c r="E6" s="61" t="str">
        <x:v>A/垂直</x:v>
      </x:c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 ht="15" hidden="0" customHeight="1">
      <x:c r="A7" s="61" t="str">
        <x:v>jackvidal/image-prompt-architect</x:v>
      </x:c>
      <x:c r="B7" s="61" t="str">
        <x:v>Skill</x:v>
      </x:c>
      <x:c r="C7" s="61" t="str">
        <x:v>新增观察</x:v>
      </x:c>
      <x:c r="D7" s="61" t="str">
        <x:v>摄影/产品反推写法好，但对真正多参考图 API 的处理过度简化</x:v>
      </x:c>
      <x:c r="E7" s="61" t="str">
        <x:v>B/观察</x:v>
      </x:c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 ht="26.399999618530273" hidden="0" customHeight="1">
      <x:c r="A8" s="61" t="str">
        <x:v>mageia/awesome-gpt-image-2-API-and-Prompts</x:v>
      </x:c>
      <x:c r="B8" s="61" t="str">
        <x:v>案例</x:v>
      </x:c>
      <x:c r="C8" s="61" t="str">
        <x:v>上游纠偏</x:v>
      </x:c>
      <x:c r="D8" s="61" t="str">
        <x:v>在大量 EvoLink 同名仓中，mageia 当前提交最像活跃主线；其他同内容仓不再独立计数</x:v>
      </x:c>
      <x:c r="E8" s="61" t="str">
        <x:v>A/精选</x:v>
      </x:c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 ht="15" hidden="0" customHeight="1">
      <x:c r="A9" s="61" t="str">
        <x:v>g0dam/Awesome-GPT-Image-2-Work-Prompts</x:v>
      </x:c>
      <x:c r="B9" s="61" t="str">
        <x:v>案例</x:v>
      </x:c>
      <x:c r="C9" s="61" t="str">
        <x:v>新增主榜</x:v>
      </x:c>
      <x:c r="D9" s="61" t="str">
        <x:v>100 个原创双语职场 Prompt + JSON + 100 张生成 PNG，结构适合业务图库</x:v>
      </x:c>
      <x:c r="E9" s="61" t="str">
        <x:v>A/核心</x:v>
      </x:c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 ht="15" hidden="0" customHeight="1">
      <x:c r="A10" s="61" t="str">
        <x:v>zhuihunzhe/gpt-image2-prompt-skill</x:v>
      </x:c>
      <x:c r="B10" s="61" t="str">
        <x:v>去重</x:v>
      </x:c>
      <x:c r="C10" s="61" t="str">
        <x:v>镜像排除</x:v>
      </x:c>
      <x:c r="D10" s="61" t="str">
        <x:v>README 徽章和内容直接指向 freestylefly，不能作为新独立 Skill/案例库</x:v>
      </x:c>
      <x:c r="E10" s="61" t="str">
        <x:v>C/排除</x:v>
      </x:c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 ht="26.399999618530273" hidden="0" customHeight="1">
      <x:c r="A11" s="61" t="str">
        <x:v>tigerowo/awesome-gpt-image-2-prompts</x:v>
      </x:c>
      <x:c r="B11" s="61" t="str">
        <x:v>去重</x:v>
      </x:c>
      <x:c r="C11" s="61" t="str">
        <x:v>备份降级</x:v>
      </x:c>
      <x:c r="D11" s="61" t="str">
        <x:v>虽有案例增量，但提交明确写 EvoLinkAI backup 且 README 为空，定位为灾备而非独立来源</x:v>
      </x:c>
      <x:c r="E11" s="61" t="str">
        <x:v>C/排除</x:v>
      </x:c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 ht="26.399999618530273" hidden="0" customHeight="1">
      <x:c r="A12" s="61" t="str">
        <x:v>imagineVid/Awesome-gpt-image-2-prompts-and-skills</x:v>
      </x:c>
      <x:c r="B12" s="61" t="str">
        <x:v>维护审计</x:v>
      </x:c>
      <x:c r="C12" s="61" t="str">
        <x:v>降级观察</x:v>
      </x:c>
      <x:c r="D12" s="61" t="str">
        <x:v>大量提交只是 auto-update README；不能以提交频率等同内容质量</x:v>
      </x:c>
      <x:c r="E12" s="61" t="str">
        <x:v>C/观察</x:v>
      </x:c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 ht="26.399999618530273" hidden="0" customHeight="1">
      <x:c r="A13" s="61" t="str">
        <x:v>EddieTYP/image-prompt-library</x:v>
      </x:c>
      <x:c r="B13" s="61" t="str">
        <x:v>管理层</x:v>
      </x:c>
      <x:c r="C13" s="61" t="str">
        <x:v>角色重定</x:v>
      </x:c>
      <x:c r="D13" s="61" t="str">
        <x:v>工程活跃且资产管理优秀，但公开 533 条来自两上游，应归为管理/发现层而非原创案例源</x:v>
      </x:c>
      <x:c r="E13" s="61" t="str">
        <x:v>A/管理</x:v>
      </x:c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 ht="15" hidden="0" customHeight="1">
      <x:c r="A14" s="61" t="str">
        <x:v>Wangnov/gpt-image-2-skill</x:v>
      </x:c>
      <x:c r="B14" s="61" t="str">
        <x:v>执行层</x:v>
      </x:c>
      <x:c r="C14" s="61" t="str">
        <x:v>状态确认</x:v>
      </x:c>
      <x:c r="D14" s="61" t="str">
        <x:v>2026-07 增加 CI、安全与测试门；仍是执行层而非 Prompt 方法论层</x:v>
      </x:c>
      <x:c r="E14" s="61" t="str">
        <x:v>A/执行</x:v>
      </x:c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pageMargins left="0.7" right="0.7" top="0.75" bottom="0.75" header="0.3" footer="0.3"/>
  <x:tableParts count="1">
    <x:tablePart xmlns:r="http://schemas.openxmlformats.org/officeDocument/2006/relationships" r:id="R08e4c0a1693b46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12" hidden="0" customWidth="1"/>
  </x:cols>
  <x:sheetData>
    <x:row r="1" ht="15" hidden="0" customHeight="1">
      <x:c r="A1" s="68" t="str">
        <x:v>镜像/血缘族</x:v>
      </x:c>
      <x:c r="B1" s="68" t="str">
        <x:v>判定证据</x:v>
      </x:c>
      <x:c r="C1" s="68" t="str">
        <x:v>处理规则</x:v>
      </x:c>
      <x:c r="D1" s="68" t="str">
        <x:v>风险</x:v>
      </x:c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 ht="15" hidden="0" customHeight="1">
      <x:c r="A2" s="61" t="str">
        <x:v>wuyoscar 镜像族</x:v>
      </x:c>
      <x:c r="B2" s="61" t="str">
        <x:v>大量仓库大小约 458MB、README/资产相同</x:v>
      </x:c>
      <x:c r="C2" s="61" t="str">
        <x:v>只保留 wuyoscar/GPT-Image2-Skill 上游；镜像不独立计数</x:v>
      </x:c>
      <x:c r="D2" s="61" t="str">
        <x:v>高</x:v>
      </x:c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 ht="15" hidden="0" customHeight="1">
      <x:c r="A3" s="61" t="str">
        <x:v>freestylefly 复制线</x:v>
      </x:c>
      <x:c r="B3" s="61" t="str">
        <x:v>zhuihunzhe README 徽章、链接、案例数直接指向 freestylefly</x:v>
      </x:c>
      <x:c r="C3" s="61" t="str">
        <x:v>只保留 freestylefly；zhuihunzhe 排除</x:v>
      </x:c>
      <x:c r="D3" s="61" t="str">
        <x:v>高</x:v>
      </x:c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 ht="26.399999618530273" hidden="0" customHeight="1">
      <x:c r="A4" s="61" t="str">
        <x:v>EvoLink 同名族</x:v>
      </x:c>
      <x:c r="B4" s="61" t="str">
        <x:v>mageia、LeonSooLab、chattydogmagazine、GuomingXu 等品牌/路径/内容高度一致</x:v>
      </x:c>
      <x:c r="C4" s="61" t="str">
        <x:v>选择当前实质更新主线 mageia；其余视为镜像或备份</x:v>
      </x:c>
      <x:c r="D4" s="61" t="str">
        <x:v>高</x:v>
      </x:c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 ht="15" hidden="0" customHeight="1">
      <x:c r="A5" s="61" t="str">
        <x:v>tigerowo 备份</x:v>
      </x:c>
      <x:c r="B5" s="61" t="str">
        <x:v>提交写明 EvoLinkAI backup，README 为空</x:v>
      </x:c>
      <x:c r="C5" s="61" t="str">
        <x:v>灾备保留，不作为独立案例源</x:v>
      </x:c>
      <x:c r="D5" s="61" t="str">
        <x:v>高</x:v>
      </x:c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 ht="15" hidden="0" customHeight="1">
      <x:c r="A6" s="61" t="str">
        <x:v>Michae1y Gallery</x:v>
      </x:c>
      <x:c r="B6" s="61" t="str">
        <x:v>README 明确由 wuyoscar 整理</x:v>
      </x:c>
      <x:c r="C6" s="61" t="str">
        <x:v>浏览界面可用，内容不独立计数</x:v>
      </x:c>
      <x:c r="D6" s="61" t="str">
        <x:v>高</x:v>
      </x:c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 ht="15" hidden="0" customHeight="1">
      <x:c r="A7" s="61" t="str">
        <x:v>AngChow style library</x:v>
      </x:c>
      <x:c r="B7" s="61" t="str">
        <x:v>明确来自 freestylefly 的模板提炼</x:v>
      </x:c>
      <x:c r="C7" s="61" t="str">
        <x:v>可作为衍生 Skill，但不能作为新案例源</x:v>
      </x:c>
      <x:c r="D7" s="61" t="str">
        <x:v>中</x:v>
      </x:c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 ht="15" hidden="0" customHeight="1">
      <x:c r="A8" s="61" t="str">
        <x:v>davidwuw 聚合</x:v>
      </x:c>
      <x:c r="B8" s="61" t="str">
        <x:v>聚合多个上游仓库</x:v>
      </x:c>
      <x:c r="C8" s="61" t="str">
        <x:v>保留为检索层，禁止把聚合数量当原创数量</x:v>
      </x:c>
      <x:c r="D8" s="61" t="str">
        <x:v>中</x:v>
      </x:c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 ht="15" hidden="0" customHeight="1">
      <x:c r="A9" s="61" t="str">
        <x:v>EddieTYP Demo</x:v>
      </x:c>
      <x:c r="B9" s="61" t="str">
        <x:v>公开 533 条来自 wuyoscar 与 freestylefly</x:v>
      </x:c>
      <x:c r="C9" s="61" t="str">
        <x:v>保留为资产管理/浏览层，不重复计算案例</x:v>
      </x:c>
      <x:c r="D9" s="61" t="str">
        <x:v>中</x:v>
      </x:c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 ht="15" hidden="0" customHeight="1">
      <x:c r="A10" s="61" t="str">
        <x:v>prompt-atlas-jj</x:v>
      </x:c>
      <x:c r="B10" s="61" t="str">
        <x:v>明确记录多来源、去重与权利边界</x:v>
      </x:c>
      <x:c r="C10" s="61" t="str">
        <x:v>保留为透明发现层；不是原创图库</x:v>
      </x:c>
      <x:c r="D10" s="61" t="str">
        <x:v>低</x:v>
      </x:c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 ht="15" hidden="0" customHeight="1">
      <x:c r="A11" s="61" t="str">
        <x:v>YouMind/Atlas 自动同步</x:v>
      </x:c>
      <x:c r="B11" s="61" t="str">
        <x:v>manifest/README 时间戳可能变化但总量不变</x:v>
      </x:c>
      <x:c r="C11" s="61" t="str">
        <x:v>每次跟踪必须检查 diff 是否新增 Prompt/图片文件</x:v>
      </x:c>
      <x:c r="D11" s="61" t="str">
        <x:v>高</x:v>
      </x:c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 ht="15" hidden="0" customHeight="1">
      <x:c r="A12" s="61" t="str">
        <x:v>imagineVid 自动 README</x:v>
      </x:c>
      <x:c r="B12" s="61" t="str">
        <x:v>高频提交标题长期为 auto-update README</x:v>
      </x:c>
      <x:c r="C12" s="61" t="str">
        <x:v>只观察数据文件和真实案例 diff，不看提交次数</x:v>
      </x:c>
      <x:c r="D12" s="61" t="str">
        <x:v>高</x:v>
      </x:c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 ht="26.399999618530273" hidden="0" customHeight="1">
      <x:c r="A13" s="61" t="str">
        <x:v>许可证外溢误判</x:v>
      </x:c>
      <x:c r="B13" s="61" t="str">
        <x:v>仓库 MIT/CC0/CC BY 不一定覆盖 X 作者图片、品牌、人物和第三方 Prompt</x:v>
      </x:c>
      <x:c r="C13" s="61" t="str">
        <x:v>商业入库逐条保存作者、原帖、许可状态和下架机制</x:v>
      </x:c>
      <x:c r="D13" s="61" t="str">
        <x:v>高</x:v>
      </x:c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 ht="15" hidden="0" customHeight="1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pageMargins left="0.7" right="0.7" top="0.75" bottom="0.75" header="0.3" footer="0.3"/>
  <x:tableParts count="1">
    <x:tablePart xmlns:r="http://schemas.openxmlformats.org/officeDocument/2006/relationships" r:id="R5e23ca33c31845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76" hidden="0" customWidth="1"/>
  </x:cols>
  <x:sheetData>
    <x:row r="1" ht="15" hidden="0" customHeight="1">
      <x:c r="A1" s="68" t="str">
        <x:v>环节</x:v>
      </x:c>
      <x:c r="B1" s="68" t="str">
        <x:v>检查方式</x:v>
      </x:c>
      <x:c r="C1" s="68" t="str">
        <x:v>具体规则</x:v>
      </x:c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 ht="15" hidden="0" customHeight="1">
      <x:c r="A2" s="61" t="str">
        <x:v>发现查询</x:v>
      </x:c>
      <x:c r="B2" s="61" t="str">
        <x:v>GitHub 仓库搜索</x:v>
      </x:c>
      <x:c r="C2" s="61" t="str">
        <x:v>gpt-image-2 skill / image prompt skill / prompt gallery / showcase / cookbook / prompt-as-code</x:v>
      </x:c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 ht="26.399999618530273" hidden="0" customHeight="1">
      <x:c r="A3" s="61" t="str">
        <x:v>实质更新验证</x:v>
      </x:c>
      <x:c r="B3" s="61" t="str">
        <x:v>提交 diff</x:v>
      </x:c>
      <x:c r="C3" s="61" t="str">
        <x:v>必须出现新增 Prompt 正文、图片、测试、Schema、工作流或评测产物；仅时间戳/README 自动更新不算</x:v>
      </x:c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 ht="15" hidden="0" customHeight="1">
      <x:c r="A4" s="61" t="str">
        <x:v>Skill 质量门</x:v>
      </x:c>
      <x:c r="B4" s="61" t="str">
        <x:v>内容审查</x:v>
      </x:c>
      <x:c r="C4" s="61" t="str">
        <x:v>需求抽取、精确文字、输入图角色、不变量、编辑、迭代、自审、输出契约、测试/案例</x:v>
      </x:c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 ht="15" hidden="0" customHeight="1">
      <x:c r="A5" s="61" t="str">
        <x:v>案例质量门</x:v>
      </x:c>
      <x:c r="B5" s="61" t="str">
        <x:v>内容审查</x:v>
      </x:c>
      <x:c r="C5" s="61" t="str">
        <x:v>完整 Prompt、效果图、模型/参数或上下文、来源署名、可复现结构、失败/局限说明</x:v>
      </x:c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 ht="15" hidden="0" customHeight="1">
      <x:c r="A6" s="61" t="str">
        <x:v>镜像去重</x:v>
      </x:c>
      <x:c r="B6" s="61" t="str">
        <x:v>血缘审查</x:v>
      </x:c>
      <x:c r="C6" s="61" t="str">
        <x:v>比较 README 链接、徽章、目录、图片路径、案例编号、仓库大小和提交历史</x:v>
      </x:c>
      <x:c r="D6" s="69"/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 ht="15" hidden="0" customHeight="1">
      <x:c r="A7" s="61" t="str">
        <x:v>版本回归</x:v>
      </x:c>
      <x:c r="B7" s="61" t="str">
        <x:v>固定测试集</x:v>
      </x:c>
      <x:c r="C7" s="61" t="str">
        <x:v>文字、中文、产品包装、多参考一致性、局部编辑、信息图、UI、PPT、透明背景</x:v>
      </x:c>
      <x:c r="D7" s="69"/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 ht="15" hidden="0" customHeight="1">
      <x:c r="A8" s="61" t="str">
        <x:v>商业合规</x:v>
      </x:c>
      <x:c r="B8" s="61" t="str">
        <x:v>逐条元数据</x:v>
      </x:c>
      <x:c r="C8" s="61" t="str">
        <x:v>作者、原帖、许可、人物/商标/IP、可商用状态、下架联系人</x:v>
      </x:c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 ht="15" hidden="0" customHeight="1">
      <x:c r="A9" s="61" t="str">
        <x:v>跟踪频率</x:v>
      </x:c>
      <x:c r="B9" s="61" t="str">
        <x:v>建议</x:v>
      </x:c>
      <x:c r="C9" s="61" t="str">
        <x:v>核心 Skill 每月；活跃案例源每两周；自动聚合源只在真实数据 diff 时更新评分</x:v>
      </x:c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 ht="15" hidden="0" customHeight="1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 ht="15" hidden="0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 ht="15" hidden="0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 ht="15" hidden="0" customHeight="1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 ht="15" hidden="0" customHeight="1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pageMargins left="0.7" right="0.7" top="0.75" bottom="0.75" header="0.3" footer="0.3"/>
  <x:tableParts count="1">
    <x:tablePart xmlns:r="http://schemas.openxmlformats.org/officeDocument/2006/relationships" r:id="R1bcc5a3158c24eb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70" hidden="0" customWidth="1"/>
  </x:cols>
  <x:sheetData>
    <x:row r="1" ht="15" hidden="0" customHeight="1">
      <x:c r="A1" s="68" t="str">
        <x:v>评分项</x:v>
      </x:c>
      <x:c r="B1" s="68" t="str">
        <x:v>权重</x:v>
      </x:c>
      <x:c r="C1" s="68" t="str">
        <x:v>判断说明</x:v>
      </x:c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 ht="15" hidden="0" customHeight="1">
      <x:c r="A2" s="61" t="str">
        <x:v>Skill：模型与任务正确性</x:v>
      </x:c>
      <x:c r="B2" s="61" t="n">
        <x:v>25</x:v>
      </x:c>
      <x:c r="C2" s="61" t="str">
        <x:v>是否符合官方 GPT Image 2 语法、参数、生成/编辑/参考图能力边界</x:v>
      </x:c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 ht="15" hidden="0" customHeight="1">
      <x:c r="A3" s="61" t="str">
        <x:v>Skill：Prompt 编译质量</x:v>
      </x:c>
      <x:c r="B3" s="61" t="n">
        <x:v>25</x:v>
      </x:c>
      <x:c r="C3" s="61" t="str">
        <x:v>是否能抽取目标、用途、主体、构图、光线、文字、约束与不变量</x:v>
      </x:c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 ht="15" hidden="0" customHeight="1">
      <x:c r="A4" s="61" t="str">
        <x:v>Skill：验证与迭代闭环</x:v>
      </x:c>
      <x:c r="B4" s="61" t="n">
        <x:v>20</x:v>
      </x:c>
      <x:c r="C4" s="61" t="str">
        <x:v>是否有预检、后检、A/B、回归、失败诊断或有界修复</x:v>
      </x:c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 ht="15" hidden="0" customHeight="1">
      <x:c r="A5" s="61" t="str">
        <x:v>Skill：工程可用性</x:v>
      </x:c>
      <x:c r="B5" s="61" t="n">
        <x:v>15</x:v>
      </x:c>
      <x:c r="C5" s="61" t="str">
        <x:v>安装、测试、CLI/API、输出契约、元数据、错误处理</x:v>
      </x:c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 ht="15" hidden="0" customHeight="1">
      <x:c r="A6" s="61" t="str">
        <x:v>Skill：维护与原创性</x:v>
      </x:c>
      <x:c r="B6" s="61" t="n">
        <x:v>15</x:v>
      </x:c>
      <x:c r="C6" s="61" t="str">
        <x:v>实质更新、来源血缘、是否为镜像、文档可信度</x:v>
      </x:c>
      <x:c r="D6" s="69"/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 ht="15" hidden="0" customHeight="1">
      <x:c r="A7" s="61" t="str">
        <x:v>案例：Prompt-效果配对</x:v>
      </x:c>
      <x:c r="B7" s="61" t="n">
        <x:v>30</x:v>
      </x:c>
      <x:c r="C7" s="61" t="str">
        <x:v>完整 Prompt 与真实输出图是否一一对应</x:v>
      </x:c>
      <x:c r="D7" s="69"/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 ht="15" hidden="0" customHeight="1">
      <x:c r="A8" s="61" t="str">
        <x:v>案例：复现元数据</x:v>
      </x:c>
      <x:c r="B8" s="61" t="n">
        <x:v>20</x:v>
      </x:c>
      <x:c r="C8" s="61" t="str">
        <x:v>模型、质量、尺寸、参考图、生成时间、上下文和版本信息</x:v>
      </x:c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 ht="15" hidden="0" customHeight="1">
      <x:c r="A9" s="61" t="str">
        <x:v>案例：视觉与用途质量</x:v>
      </x:c>
      <x:c r="B9" s="61" t="n">
        <x:v>20</x:v>
      </x:c>
      <x:c r="C9" s="61" t="str">
        <x:v>构图、文字、细节、业务可用性、类别覆盖</x:v>
      </x:c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 ht="15" hidden="0" customHeight="1">
      <x:c r="A10" s="61" t="str">
        <x:v>案例：来源与授权</x:v>
      </x:c>
      <x:c r="B10" s="61" t="n">
        <x:v>15</x:v>
      </x:c>
      <x:c r="C10" s="61" t="str">
        <x:v>作者、原帖、许可证、图片权利和下架机制</x:v>
      </x:c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 ht="15" hidden="0" customHeight="1">
      <x:c r="A11" s="61" t="str">
        <x:v>案例：维护与结构化</x:v>
      </x:c>
      <x:c r="B11" s="61" t="n">
        <x:v>15</x:v>
      </x:c>
      <x:c r="C11" s="61" t="str">
        <x:v>实质新增、JSON/Schema、去重、检索、可机器读取</x:v>
      </x:c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 ht="15" hidden="0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 ht="15" hidden="0" customHeight="1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 ht="15" hidden="0" customHeight="1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pageMargins left="0.7" right="0.7" top="0.75" bottom="0.75" header="0.3" footer="0.3"/>
  <x:tableParts count="1">
    <x:tablePart xmlns:r="http://schemas.openxmlformats.org/officeDocument/2006/relationships" r:id="R17b9909602d54a6c"/>
  </x:tableParts>
</x:worksheet>
</file>